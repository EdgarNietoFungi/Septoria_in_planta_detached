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ieto/Library/Mobile Documents/com~apple~CloudDocs/Documents/Septoria_detaached_leaves_2025/septoria detachedLeaves 2025/data/"/>
    </mc:Choice>
  </mc:AlternateContent>
  <xr:revisionPtr revIDLastSave="0" documentId="13_ncr:1_{3B08F174-FB35-CC44-AACA-C8F7B2E97707}" xr6:coauthVersionLast="47" xr6:coauthVersionMax="47" xr10:uidLastSave="{00000000-0000-0000-0000-000000000000}"/>
  <bookViews>
    <workbookView xWindow="0" yWindow="580" windowWidth="13000" windowHeight="16380" firstSheet="3" activeTab="5" xr2:uid="{00000000-000D-0000-FFFF-FFFF00000000}"/>
  </bookViews>
  <sheets>
    <sheet name="Intact leaf Exp 1 7day" sheetId="1" r:id="rId1"/>
    <sheet name="Intact leaf Exp 1 14day" sheetId="2" r:id="rId2"/>
    <sheet name="Intact leaf Exp 1 21day" sheetId="3" r:id="rId3"/>
    <sheet name="Intact leaf Exp 2 21 day" sheetId="4" r:id="rId4"/>
    <sheet name="detached Exp 1" sheetId="5" r:id="rId5"/>
    <sheet name="detached Exp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T69" i="4" l="1"/>
  <c r="T70" i="4"/>
  <c r="T72" i="4"/>
  <c r="T73" i="4"/>
  <c r="T74" i="4"/>
  <c r="T75" i="4"/>
  <c r="T76" i="4"/>
  <c r="T77" i="4"/>
  <c r="T78" i="4"/>
  <c r="T79" i="4"/>
  <c r="T80" i="4"/>
  <c r="T81" i="4"/>
  <c r="T82" i="4"/>
  <c r="T83" i="4"/>
  <c r="T59" i="4"/>
  <c r="T60" i="4"/>
  <c r="T61" i="4"/>
  <c r="T62" i="4"/>
  <c r="T63" i="4"/>
  <c r="T64" i="4"/>
  <c r="T65" i="4"/>
  <c r="T67" i="4"/>
  <c r="T68" i="4"/>
  <c r="T41" i="4"/>
  <c r="T42" i="4"/>
  <c r="T43" i="4"/>
  <c r="T45" i="4"/>
  <c r="T46" i="4"/>
  <c r="T47" i="4"/>
  <c r="T48" i="4"/>
  <c r="T49" i="4"/>
  <c r="T50" i="4"/>
  <c r="T51" i="4"/>
  <c r="T52" i="4"/>
  <c r="T53" i="4"/>
  <c r="T54" i="4"/>
  <c r="T55" i="4"/>
  <c r="T56" i="4"/>
  <c r="T35" i="4"/>
  <c r="T36" i="4"/>
  <c r="T37" i="4"/>
  <c r="T38" i="4"/>
  <c r="T40" i="4"/>
  <c r="T12" i="4"/>
  <c r="T13" i="4"/>
  <c r="T14" i="4"/>
  <c r="T15" i="4"/>
  <c r="T16" i="4"/>
  <c r="T17" i="4"/>
  <c r="T4" i="4"/>
  <c r="T5" i="4"/>
  <c r="T6" i="4"/>
  <c r="T7" i="4"/>
  <c r="T8" i="4"/>
  <c r="S83" i="4"/>
  <c r="S81" i="4"/>
  <c r="S82" i="4"/>
  <c r="S80" i="4"/>
  <c r="S79" i="4"/>
  <c r="S78" i="4"/>
  <c r="S77" i="4"/>
  <c r="S76" i="4"/>
  <c r="S75" i="4"/>
  <c r="S74" i="4"/>
  <c r="S73" i="4"/>
  <c r="S72" i="4"/>
  <c r="S70" i="4"/>
  <c r="S69" i="4"/>
  <c r="S68" i="4"/>
  <c r="S67" i="4"/>
  <c r="S65" i="4"/>
  <c r="S64" i="4"/>
  <c r="S63" i="4"/>
  <c r="S62" i="4"/>
  <c r="S61" i="4"/>
  <c r="S60" i="4"/>
  <c r="S59" i="4"/>
  <c r="S56" i="4"/>
  <c r="S55" i="4"/>
  <c r="S54" i="4"/>
  <c r="S53" i="4"/>
  <c r="S52" i="4"/>
  <c r="S51" i="4"/>
  <c r="S50" i="4"/>
  <c r="S49" i="4"/>
  <c r="S48" i="4"/>
  <c r="S47" i="4"/>
  <c r="S46" i="4"/>
  <c r="S45" i="4"/>
  <c r="S43" i="4"/>
  <c r="S42" i="4"/>
  <c r="S41" i="4"/>
  <c r="S40" i="4"/>
  <c r="S38" i="4"/>
  <c r="S37" i="4"/>
  <c r="S36" i="4"/>
  <c r="S35" i="4"/>
  <c r="S12" i="4"/>
  <c r="S17" i="4"/>
  <c r="S16" i="4"/>
  <c r="S15" i="4"/>
  <c r="S14" i="4"/>
  <c r="S13" i="4"/>
  <c r="S8" i="4"/>
  <c r="S7" i="4"/>
  <c r="S6" i="4"/>
  <c r="S5" i="4"/>
  <c r="S4" i="4"/>
  <c r="S3" i="4"/>
  <c r="R70" i="4"/>
  <c r="R72" i="4"/>
  <c r="R73" i="4"/>
  <c r="R74" i="4"/>
  <c r="R75" i="4"/>
  <c r="R76" i="4"/>
  <c r="R77" i="4"/>
  <c r="R78" i="4"/>
  <c r="R79" i="4"/>
  <c r="R80" i="4"/>
  <c r="R81" i="4"/>
  <c r="R82" i="4"/>
  <c r="R83" i="4"/>
  <c r="R59" i="4"/>
  <c r="R60" i="4"/>
  <c r="R61" i="4"/>
  <c r="R62" i="4"/>
  <c r="R63" i="4"/>
  <c r="R64" i="4"/>
  <c r="R65" i="4"/>
  <c r="R67" i="4"/>
  <c r="R68" i="4"/>
  <c r="R69" i="4"/>
  <c r="R40" i="4"/>
  <c r="R41" i="4"/>
  <c r="R42" i="4"/>
  <c r="R43" i="4"/>
  <c r="R45" i="4"/>
  <c r="R46" i="4"/>
  <c r="R47" i="4"/>
  <c r="R48" i="4"/>
  <c r="R49" i="4"/>
  <c r="R50" i="4"/>
  <c r="R51" i="4"/>
  <c r="R52" i="4"/>
  <c r="R53" i="4"/>
  <c r="R54" i="4"/>
  <c r="R55" i="4"/>
  <c r="R56" i="4"/>
  <c r="R35" i="4"/>
  <c r="R36" i="4"/>
  <c r="R37" i="4"/>
  <c r="R38" i="4"/>
  <c r="R4" i="4"/>
  <c r="R5" i="4"/>
  <c r="R6" i="4"/>
  <c r="R7" i="4"/>
  <c r="R8" i="4"/>
  <c r="R12" i="4"/>
  <c r="R13" i="4"/>
  <c r="R14" i="4"/>
  <c r="R15" i="4"/>
  <c r="R16" i="4"/>
  <c r="R17" i="4"/>
  <c r="R3" i="4"/>
  <c r="T3" i="4"/>
  <c r="T78" i="3"/>
  <c r="T79" i="3"/>
  <c r="T80" i="3"/>
  <c r="T81" i="3"/>
  <c r="T82" i="3"/>
  <c r="T83" i="3"/>
  <c r="T84" i="3"/>
  <c r="T85" i="3"/>
  <c r="T63" i="3"/>
  <c r="T64" i="3"/>
  <c r="T65" i="3"/>
  <c r="T66" i="3"/>
  <c r="T67" i="3"/>
  <c r="T68" i="3"/>
  <c r="T69" i="3"/>
  <c r="T70" i="3"/>
  <c r="T71" i="3"/>
  <c r="T72" i="3"/>
  <c r="T74" i="3"/>
  <c r="T75" i="3"/>
  <c r="T76" i="3"/>
  <c r="T77" i="3"/>
  <c r="T47" i="3"/>
  <c r="T48" i="3"/>
  <c r="T49" i="3"/>
  <c r="T50" i="3"/>
  <c r="T51" i="3"/>
  <c r="T53" i="3"/>
  <c r="T54" i="3"/>
  <c r="T55" i="3"/>
  <c r="T57" i="3"/>
  <c r="T58" i="3"/>
  <c r="T61" i="3"/>
  <c r="T62" i="3"/>
  <c r="T41" i="3"/>
  <c r="T42" i="3"/>
  <c r="T43" i="3"/>
  <c r="T44" i="3"/>
  <c r="T45" i="3"/>
  <c r="T34" i="3"/>
  <c r="T35" i="3"/>
  <c r="T36" i="3"/>
  <c r="T37" i="3"/>
  <c r="T39" i="3"/>
  <c r="T14" i="3"/>
  <c r="T15" i="3"/>
  <c r="T16" i="3"/>
  <c r="T17" i="3"/>
  <c r="T18" i="3"/>
  <c r="T19" i="3"/>
  <c r="T6" i="3"/>
  <c r="T7" i="3"/>
  <c r="T8" i="3"/>
  <c r="T9" i="3"/>
  <c r="S48" i="3"/>
  <c r="S61" i="3"/>
  <c r="S85" i="3"/>
  <c r="S84" i="3"/>
  <c r="S83" i="3"/>
  <c r="S82" i="3"/>
  <c r="S81" i="3"/>
  <c r="S80" i="3"/>
  <c r="S79" i="3"/>
  <c r="S78" i="3"/>
  <c r="S77" i="3"/>
  <c r="S76" i="3"/>
  <c r="S75" i="3"/>
  <c r="S72" i="3"/>
  <c r="S71" i="3"/>
  <c r="S70" i="3"/>
  <c r="S69" i="3"/>
  <c r="S68" i="3"/>
  <c r="S67" i="3"/>
  <c r="S66" i="3"/>
  <c r="S65" i="3"/>
  <c r="S64" i="3"/>
  <c r="S63" i="3"/>
  <c r="S62" i="3"/>
  <c r="S58" i="3"/>
  <c r="S57" i="3"/>
  <c r="S55" i="3"/>
  <c r="S54" i="3"/>
  <c r="S53" i="3"/>
  <c r="S51" i="3"/>
  <c r="S50" i="3"/>
  <c r="S49" i="3"/>
  <c r="S45" i="3"/>
  <c r="S44" i="3"/>
  <c r="S43" i="3"/>
  <c r="S42" i="3"/>
  <c r="S41" i="3"/>
  <c r="S39" i="3"/>
  <c r="S37" i="3"/>
  <c r="S35" i="3"/>
  <c r="S19" i="3"/>
  <c r="S18" i="3"/>
  <c r="S17" i="3"/>
  <c r="S16" i="3"/>
  <c r="S15" i="3"/>
  <c r="S14" i="3"/>
  <c r="S9" i="3"/>
  <c r="S8" i="3"/>
  <c r="S7" i="3"/>
  <c r="S6" i="3"/>
  <c r="S5" i="3"/>
  <c r="T5" i="3" s="1"/>
  <c r="S74" i="3"/>
  <c r="S47" i="3"/>
  <c r="S34" i="3"/>
  <c r="S36" i="3"/>
  <c r="R79" i="3"/>
  <c r="R80" i="3"/>
  <c r="R81" i="3"/>
  <c r="R82" i="3"/>
  <c r="R83" i="3"/>
  <c r="R84" i="3"/>
  <c r="R85" i="3"/>
  <c r="R61" i="3"/>
  <c r="R62" i="3"/>
  <c r="R63" i="3"/>
  <c r="R64" i="3"/>
  <c r="R65" i="3"/>
  <c r="R66" i="3"/>
  <c r="R67" i="3"/>
  <c r="R68" i="3"/>
  <c r="R69" i="3"/>
  <c r="R70" i="3"/>
  <c r="R71" i="3"/>
  <c r="R72" i="3"/>
  <c r="R74" i="3"/>
  <c r="R75" i="3"/>
  <c r="R76" i="3"/>
  <c r="R77" i="3"/>
  <c r="R78" i="3"/>
  <c r="R36" i="3"/>
  <c r="R37" i="3"/>
  <c r="R39" i="3"/>
  <c r="R41" i="3"/>
  <c r="R42" i="3"/>
  <c r="R43" i="3"/>
  <c r="R44" i="3"/>
  <c r="R45" i="3"/>
  <c r="R47" i="3"/>
  <c r="R48" i="3"/>
  <c r="R49" i="3"/>
  <c r="R50" i="3"/>
  <c r="R51" i="3"/>
  <c r="R53" i="3"/>
  <c r="R54" i="3"/>
  <c r="R55" i="3"/>
  <c r="R57" i="3"/>
  <c r="R58" i="3"/>
  <c r="R19" i="3"/>
  <c r="R34" i="3"/>
  <c r="R35" i="3"/>
  <c r="R6" i="3"/>
  <c r="R7" i="3"/>
  <c r="R8" i="3"/>
  <c r="R9" i="3"/>
  <c r="R14" i="3"/>
  <c r="R15" i="3"/>
  <c r="R16" i="3"/>
  <c r="R17" i="3"/>
  <c r="R18" i="3"/>
  <c r="R5" i="3"/>
  <c r="T75" i="2"/>
  <c r="T76" i="2"/>
  <c r="T77" i="2"/>
  <c r="T78" i="2"/>
  <c r="T79" i="2"/>
  <c r="T80" i="2"/>
  <c r="T81" i="2"/>
  <c r="T82" i="2"/>
  <c r="T83" i="2"/>
  <c r="T84" i="2"/>
  <c r="T85" i="2"/>
  <c r="T74" i="2"/>
  <c r="T63" i="2"/>
  <c r="T64" i="2"/>
  <c r="T65" i="2"/>
  <c r="T66" i="2"/>
  <c r="T67" i="2"/>
  <c r="T68" i="2"/>
  <c r="T69" i="2"/>
  <c r="T70" i="2"/>
  <c r="T71" i="2"/>
  <c r="T72" i="2"/>
  <c r="T53" i="2"/>
  <c r="T54" i="2"/>
  <c r="T55" i="2"/>
  <c r="T56" i="2"/>
  <c r="T57" i="2"/>
  <c r="T58" i="2"/>
  <c r="T61" i="2"/>
  <c r="T62" i="2"/>
  <c r="T42" i="2"/>
  <c r="T43" i="2"/>
  <c r="T44" i="2"/>
  <c r="T45" i="2"/>
  <c r="T47" i="2"/>
  <c r="T48" i="2"/>
  <c r="T49" i="2"/>
  <c r="T50" i="2"/>
  <c r="T51" i="2"/>
  <c r="T52" i="2"/>
  <c r="T37" i="2"/>
  <c r="T38" i="2"/>
  <c r="T39" i="2"/>
  <c r="T40" i="2"/>
  <c r="T41" i="2"/>
  <c r="T14" i="2"/>
  <c r="T15" i="2"/>
  <c r="T16" i="2"/>
  <c r="T17" i="2"/>
  <c r="T18" i="2"/>
  <c r="T19" i="2"/>
  <c r="T6" i="2"/>
  <c r="T7" i="2"/>
  <c r="T8" i="2"/>
  <c r="T9" i="2"/>
  <c r="T10" i="2"/>
  <c r="T5" i="2"/>
  <c r="S85" i="2"/>
  <c r="S84" i="2"/>
  <c r="S82" i="2"/>
  <c r="S81" i="2"/>
  <c r="S80" i="2"/>
  <c r="S79" i="2"/>
  <c r="S78" i="2"/>
  <c r="S77" i="2"/>
  <c r="S76" i="2"/>
  <c r="S75" i="2"/>
  <c r="S74" i="2"/>
  <c r="S83" i="2"/>
  <c r="S72" i="2"/>
  <c r="S71" i="2"/>
  <c r="S70" i="2"/>
  <c r="S69" i="2"/>
  <c r="S68" i="2"/>
  <c r="S67" i="2"/>
  <c r="S66" i="2"/>
  <c r="S64" i="2"/>
  <c r="S63" i="2"/>
  <c r="S62" i="2"/>
  <c r="S58" i="2"/>
  <c r="S57" i="2"/>
  <c r="S55" i="2"/>
  <c r="S54" i="2"/>
  <c r="S53" i="2"/>
  <c r="S52" i="2"/>
  <c r="S51" i="2"/>
  <c r="S47" i="2"/>
  <c r="S45" i="2"/>
  <c r="S44" i="2"/>
  <c r="S43" i="2"/>
  <c r="S42" i="2"/>
  <c r="S39" i="2"/>
  <c r="S38" i="2"/>
  <c r="S19" i="2"/>
  <c r="S18" i="2"/>
  <c r="S17" i="2"/>
  <c r="S16" i="2"/>
  <c r="S15" i="2"/>
  <c r="S14" i="2"/>
  <c r="S37" i="2"/>
  <c r="R39" i="2"/>
  <c r="S9" i="2"/>
  <c r="S7" i="2"/>
  <c r="S6" i="2"/>
  <c r="R5" i="2"/>
  <c r="R85" i="2"/>
  <c r="R84" i="2"/>
  <c r="R83" i="2"/>
  <c r="R82" i="2"/>
  <c r="R81" i="2"/>
  <c r="R80" i="2"/>
  <c r="R79" i="2"/>
  <c r="R78" i="2"/>
  <c r="R77" i="2"/>
  <c r="R76" i="2"/>
  <c r="R75" i="2"/>
  <c r="R74" i="2"/>
  <c r="R72" i="2"/>
  <c r="R71" i="2"/>
  <c r="R70" i="2"/>
  <c r="R69" i="2"/>
  <c r="R68" i="2"/>
  <c r="R67" i="2"/>
  <c r="R66" i="2"/>
  <c r="S65" i="2"/>
  <c r="R65" i="2"/>
  <c r="R64" i="2"/>
  <c r="R63" i="2"/>
  <c r="R62" i="2"/>
  <c r="S61" i="2"/>
  <c r="R61" i="2"/>
  <c r="R58" i="2"/>
  <c r="R57" i="2"/>
  <c r="S56" i="2"/>
  <c r="R56" i="2"/>
  <c r="R55" i="2"/>
  <c r="R54" i="2"/>
  <c r="R53" i="2"/>
  <c r="R52" i="2"/>
  <c r="R51" i="2"/>
  <c r="S50" i="2"/>
  <c r="R50" i="2"/>
  <c r="S49" i="2"/>
  <c r="R49" i="2"/>
  <c r="S48" i="2"/>
  <c r="R48" i="2"/>
  <c r="R47" i="2"/>
  <c r="R45" i="2"/>
  <c r="R44" i="2"/>
  <c r="R43" i="2"/>
  <c r="R42" i="2"/>
  <c r="S41" i="2"/>
  <c r="R41" i="2"/>
  <c r="S40" i="2"/>
  <c r="R40" i="2"/>
  <c r="R38" i="2"/>
  <c r="R37" i="2"/>
  <c r="R19" i="2"/>
  <c r="R18" i="2"/>
  <c r="R17" i="2"/>
  <c r="R16" i="2"/>
  <c r="R15" i="2"/>
  <c r="R14" i="2"/>
  <c r="R10" i="2"/>
  <c r="R9" i="2"/>
  <c r="S8" i="2"/>
  <c r="R8" i="2"/>
  <c r="R7" i="2"/>
  <c r="R6" i="2"/>
  <c r="S5" i="2"/>
  <c r="T69" i="1"/>
  <c r="T70" i="1"/>
  <c r="T71" i="1"/>
  <c r="T72" i="1"/>
  <c r="T74" i="1"/>
  <c r="T75" i="1"/>
  <c r="T76" i="1"/>
  <c r="T77" i="1"/>
  <c r="T78" i="1"/>
  <c r="T79" i="1"/>
  <c r="T80" i="1"/>
  <c r="T81" i="1"/>
  <c r="T82" i="1"/>
  <c r="T83" i="1"/>
  <c r="T84" i="1"/>
  <c r="T85" i="1"/>
  <c r="T61" i="1"/>
  <c r="T62" i="1"/>
  <c r="T63" i="1"/>
  <c r="T64" i="1"/>
  <c r="T65" i="1"/>
  <c r="T66" i="1"/>
  <c r="T67" i="1"/>
  <c r="T68" i="1"/>
  <c r="T58" i="1"/>
  <c r="T47" i="1"/>
  <c r="T48" i="1"/>
  <c r="T49" i="1"/>
  <c r="T50" i="1"/>
  <c r="T51" i="1"/>
  <c r="T52" i="1"/>
  <c r="T53" i="1"/>
  <c r="T54" i="1"/>
  <c r="T55" i="1"/>
  <c r="T56" i="1"/>
  <c r="T57" i="1"/>
  <c r="T37" i="1"/>
  <c r="T38" i="1"/>
  <c r="T40" i="1"/>
  <c r="T41" i="1"/>
  <c r="T42" i="1"/>
  <c r="T43" i="1"/>
  <c r="T44" i="1"/>
  <c r="T45" i="1"/>
  <c r="T34" i="1"/>
  <c r="T35" i="1"/>
  <c r="T36" i="1"/>
  <c r="T14" i="1"/>
  <c r="T15" i="1"/>
  <c r="T16" i="1"/>
  <c r="T17" i="1"/>
  <c r="T18" i="1"/>
  <c r="T19" i="1"/>
  <c r="T6" i="1"/>
  <c r="T7" i="1"/>
  <c r="T8" i="1"/>
  <c r="T9" i="1"/>
  <c r="T10" i="1"/>
  <c r="T5" i="1"/>
  <c r="S85" i="1"/>
  <c r="S84" i="1"/>
  <c r="S81" i="1"/>
  <c r="S79" i="1"/>
  <c r="S78" i="1"/>
  <c r="S72" i="1"/>
  <c r="S71" i="1"/>
  <c r="S70" i="1"/>
  <c r="S69" i="1"/>
  <c r="S68" i="1"/>
  <c r="S67" i="1"/>
  <c r="S66" i="1"/>
  <c r="S64" i="1"/>
  <c r="S63" i="1"/>
  <c r="S62" i="1"/>
  <c r="S61" i="1"/>
  <c r="S58" i="1"/>
  <c r="S57" i="1"/>
  <c r="S56" i="1"/>
  <c r="S55" i="1"/>
  <c r="S54" i="1"/>
  <c r="S53" i="1"/>
  <c r="S52" i="1"/>
  <c r="S51" i="1"/>
  <c r="S50" i="1"/>
  <c r="S49" i="1"/>
  <c r="S48" i="1"/>
  <c r="S43" i="1"/>
  <c r="S42" i="1"/>
  <c r="S41" i="1"/>
  <c r="S40" i="1"/>
  <c r="S38" i="1"/>
  <c r="S37" i="1"/>
  <c r="S36" i="1"/>
  <c r="S65" i="1"/>
  <c r="S74" i="1"/>
  <c r="S44" i="1"/>
  <c r="S45" i="1"/>
  <c r="S47" i="1"/>
  <c r="S35" i="1"/>
  <c r="S34" i="1"/>
  <c r="S19" i="1"/>
  <c r="S18" i="1"/>
  <c r="S17" i="1"/>
  <c r="S16" i="1"/>
  <c r="S15" i="1"/>
  <c r="S14" i="1"/>
  <c r="S10" i="1"/>
  <c r="S9" i="1"/>
  <c r="S8" i="1"/>
  <c r="S6" i="1"/>
  <c r="R80" i="1"/>
  <c r="R81" i="1"/>
  <c r="R82" i="1"/>
  <c r="R83" i="1"/>
  <c r="R84" i="1"/>
  <c r="R85" i="1"/>
  <c r="R70" i="1"/>
  <c r="R71" i="1"/>
  <c r="R72" i="1"/>
  <c r="R74" i="1"/>
  <c r="R75" i="1"/>
  <c r="R76" i="1"/>
  <c r="R77" i="1"/>
  <c r="R78" i="1"/>
  <c r="R79" i="1"/>
  <c r="R61" i="1"/>
  <c r="R62" i="1"/>
  <c r="R63" i="1"/>
  <c r="R64" i="1"/>
  <c r="R65" i="1"/>
  <c r="R66" i="1"/>
  <c r="R67" i="1"/>
  <c r="R68" i="1"/>
  <c r="R69" i="1"/>
  <c r="R48" i="1"/>
  <c r="R49" i="1"/>
  <c r="R50" i="1"/>
  <c r="R51" i="1"/>
  <c r="R52" i="1"/>
  <c r="R53" i="1"/>
  <c r="R54" i="1"/>
  <c r="R55" i="1"/>
  <c r="R56" i="1"/>
  <c r="R57" i="1"/>
  <c r="R58" i="1"/>
  <c r="R36" i="1"/>
  <c r="R37" i="1"/>
  <c r="R38" i="1"/>
  <c r="R40" i="1"/>
  <c r="R41" i="1"/>
  <c r="R42" i="1"/>
  <c r="R43" i="1"/>
  <c r="R44" i="1"/>
  <c r="R45" i="1"/>
  <c r="R47" i="1"/>
  <c r="R19" i="1"/>
  <c r="R34" i="1"/>
  <c r="R35" i="1"/>
  <c r="R14" i="1"/>
  <c r="R15" i="1"/>
  <c r="R16" i="1"/>
  <c r="R17" i="1"/>
  <c r="R18" i="1"/>
  <c r="S7" i="1"/>
  <c r="R6" i="1"/>
  <c r="R7" i="1"/>
  <c r="R8" i="1"/>
  <c r="R9" i="1"/>
  <c r="R10" i="1"/>
  <c r="S5" i="1"/>
  <c r="R5" i="1"/>
</calcChain>
</file>

<file path=xl/sharedStrings.xml><?xml version="1.0" encoding="utf-8"?>
<sst xmlns="http://schemas.openxmlformats.org/spreadsheetml/2006/main" count="936" uniqueCount="37">
  <si>
    <t>Planting 05,30/2025</t>
  </si>
  <si>
    <t>innocolation: 06/23/2025</t>
  </si>
  <si>
    <t>variety</t>
  </si>
  <si>
    <t>Replication</t>
  </si>
  <si>
    <t>iosolate</t>
  </si>
  <si>
    <t>plant height</t>
  </si>
  <si>
    <t>disease height</t>
  </si>
  <si>
    <t>NK28P6xF</t>
  </si>
  <si>
    <t>HS03</t>
  </si>
  <si>
    <t>NK008-PXF</t>
  </si>
  <si>
    <t>S-26-E-3</t>
  </si>
  <si>
    <t>William82</t>
  </si>
  <si>
    <t>NK28P6XF</t>
  </si>
  <si>
    <t>none</t>
  </si>
  <si>
    <t>NK008PXF</t>
  </si>
  <si>
    <t>HS08</t>
  </si>
  <si>
    <t>HS02</t>
  </si>
  <si>
    <t>HS10</t>
  </si>
  <si>
    <t>HS05</t>
  </si>
  <si>
    <t>planting 05/30/2025</t>
  </si>
  <si>
    <t>second reading 07/09/2025</t>
  </si>
  <si>
    <t>SBS severity</t>
  </si>
  <si>
    <t>7 days</t>
  </si>
  <si>
    <t>14 days</t>
  </si>
  <si>
    <t>more than 20 days</t>
  </si>
  <si>
    <t>total leaves</t>
  </si>
  <si>
    <t>Severity</t>
  </si>
  <si>
    <t>DI</t>
  </si>
  <si>
    <t>DS</t>
  </si>
  <si>
    <t xml:space="preserve">total leaves </t>
  </si>
  <si>
    <t>evaluaetd leaves</t>
  </si>
  <si>
    <t>SBSX</t>
  </si>
  <si>
    <t>total leaveas</t>
  </si>
  <si>
    <t>evaluated leaves</t>
  </si>
  <si>
    <t>severity</t>
  </si>
  <si>
    <t xml:space="preserve">evaluated leaves </t>
  </si>
  <si>
    <t>evaluatded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</si>
</sst>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2" fontId="1" fillId="0" borderId="0" xfId="0" applyNumberFormat="1" applyFont="1"/>
    <xf numFmtId="2" fontId="1" fillId="3" borderId="0" xfId="0" applyNumberFormat="1" applyFont="1" applyFill="1"/>
    <xf numFmtId="0" fontId="0" fillId="2" borderId="0" xfId="0" applyFill="1"/>
    <xf numFmtId="0" fontId="3" fillId="2" borderId="0" xfId="0" applyFont="1" applyFill="1" applyAlignment="1">
      <alignment horizontal="right"/>
    </xf>
    <xf numFmtId="0" fontId="1" fillId="4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2" fontId="1" fillId="5" borderId="0" xfId="0" applyNumberFormat="1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371672</xdr:colOff>
      <xdr:row>14</xdr:row>
      <xdr:rowOff>3158</xdr:rowOff>
    </xdr:from>
    <xdr:to>
      <xdr:col>23</xdr:col>
      <xdr:colOff>968571</xdr:colOff>
      <xdr:row>22</xdr:row>
      <xdr:rowOff>15857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DAFF0-54F0-7FFB-A47D-39B51653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63875" y="2715361"/>
          <a:ext cx="2534188" cy="1562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11</xdr:row>
      <xdr:rowOff>0</xdr:rowOff>
    </xdr:from>
    <xdr:to>
      <xdr:col>23</xdr:col>
      <xdr:colOff>603788</xdr:colOff>
      <xdr:row>19</xdr:row>
      <xdr:rowOff>38530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18E8E-62E1-7146-8DFC-F22F1E43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0" y="2095500"/>
          <a:ext cx="2534188" cy="1562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177800</xdr:colOff>
      <xdr:row>3</xdr:row>
      <xdr:rowOff>0</xdr:rowOff>
    </xdr:from>
    <xdr:to>
      <xdr:col>24</xdr:col>
      <xdr:colOff>781588</xdr:colOff>
      <xdr:row>11</xdr:row>
      <xdr:rowOff>38530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AB4BD-6396-BB43-915F-CBC96B3FA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02700" y="571500"/>
          <a:ext cx="2534188" cy="1562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508000</xdr:colOff>
      <xdr:row>2</xdr:row>
      <xdr:rowOff>88900</xdr:rowOff>
    </xdr:from>
    <xdr:to>
      <xdr:col>24</xdr:col>
      <xdr:colOff>146588</xdr:colOff>
      <xdr:row>10</xdr:row>
      <xdr:rowOff>127430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FBEF6-DCA4-3840-AA69-59B76C417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77200" y="660400"/>
          <a:ext cx="2534188" cy="156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8"/>
  <sheetViews>
    <sheetView topLeftCell="A51" zoomScale="118" workbookViewId="0">
      <pane xSplit="1" topLeftCell="M1" activePane="topRight" state="frozen"/>
      <selection activeCell="A2" sqref="A2"/>
      <selection pane="topRight" activeCell="S5" sqref="S5:T9"/>
    </sheetView>
  </sheetViews>
  <sheetFormatPr baseColWidth="10" defaultColWidth="12.6640625" defaultRowHeight="15.75" customHeight="1" x14ac:dyDescent="0.15"/>
  <cols>
    <col min="18" max="19" width="13.6640625" bestFit="1" customWidth="1"/>
  </cols>
  <sheetData>
    <row r="1" spans="1:20" ht="15.75" customHeight="1" x14ac:dyDescent="0.1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15">
      <c r="A2" s="1"/>
      <c r="B2" s="1"/>
      <c r="C2" s="1"/>
      <c r="D2" s="1"/>
      <c r="E2" s="1"/>
      <c r="F2" s="1"/>
      <c r="G2" s="1"/>
      <c r="H2" s="12" t="s">
        <v>26</v>
      </c>
      <c r="I2" s="12"/>
      <c r="J2" s="12"/>
      <c r="K2" s="12"/>
      <c r="L2" s="12"/>
      <c r="M2" s="12"/>
      <c r="N2" s="12"/>
      <c r="O2" s="12"/>
      <c r="P2" s="1"/>
      <c r="Q2" s="1"/>
      <c r="R2" s="1"/>
      <c r="S2" s="1"/>
      <c r="T2" s="1"/>
    </row>
    <row r="3" spans="1:20" ht="15.75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29</v>
      </c>
      <c r="G3" s="5" t="s">
        <v>30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 t="s">
        <v>27</v>
      </c>
      <c r="S3" s="2" t="s">
        <v>28</v>
      </c>
      <c r="T3" s="2" t="s">
        <v>31</v>
      </c>
    </row>
    <row r="4" spans="1:20" ht="15.75" customHeight="1" x14ac:dyDescent="0.15">
      <c r="A4" s="1" t="s">
        <v>7</v>
      </c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15">
      <c r="A5" s="1" t="s">
        <v>7</v>
      </c>
      <c r="B5" s="2">
        <v>1</v>
      </c>
      <c r="C5" s="1" t="s">
        <v>8</v>
      </c>
      <c r="D5" s="2">
        <v>11</v>
      </c>
      <c r="E5" s="2">
        <v>7</v>
      </c>
      <c r="F5" s="2">
        <v>5</v>
      </c>
      <c r="G5" s="6">
        <v>4</v>
      </c>
      <c r="H5" s="2">
        <v>30</v>
      </c>
      <c r="I5" s="2">
        <v>15</v>
      </c>
      <c r="J5" s="2">
        <v>5</v>
      </c>
      <c r="K5" s="2">
        <v>2</v>
      </c>
      <c r="L5" s="2">
        <v>0</v>
      </c>
      <c r="M5" s="1"/>
      <c r="N5" s="1"/>
      <c r="O5" s="1"/>
      <c r="P5" s="1"/>
      <c r="Q5" s="1"/>
      <c r="R5" s="7">
        <f>(E5/D5)*100</f>
        <v>63.636363636363633</v>
      </c>
      <c r="S5" s="15">
        <f>(AVERAGE(H5:K5))/G5</f>
        <v>3.25</v>
      </c>
      <c r="T5" s="8">
        <f>(R5*S5)/100</f>
        <v>2.0681818181818183</v>
      </c>
    </row>
    <row r="6" spans="1:20" ht="15.75" customHeight="1" x14ac:dyDescent="0.15">
      <c r="A6" s="1" t="s">
        <v>7</v>
      </c>
      <c r="B6" s="2">
        <v>2</v>
      </c>
      <c r="C6" s="1" t="s">
        <v>8</v>
      </c>
      <c r="D6" s="2">
        <v>15.5</v>
      </c>
      <c r="E6" s="2">
        <v>11</v>
      </c>
      <c r="F6" s="2">
        <v>4</v>
      </c>
      <c r="G6" s="6">
        <v>3</v>
      </c>
      <c r="H6" s="2">
        <v>20</v>
      </c>
      <c r="I6" s="2">
        <v>15</v>
      </c>
      <c r="J6" s="2">
        <v>5</v>
      </c>
      <c r="K6" s="2">
        <v>0</v>
      </c>
      <c r="L6" s="1"/>
      <c r="M6" s="1"/>
      <c r="N6" s="1"/>
      <c r="O6" s="1"/>
      <c r="P6" s="1"/>
      <c r="Q6" s="1"/>
      <c r="R6" s="7">
        <f t="shared" ref="R6:R71" si="0">(E6/D6)*100</f>
        <v>70.967741935483872</v>
      </c>
      <c r="S6" s="15">
        <f>(AVERAGE(H6:J6))/G6</f>
        <v>4.4444444444444446</v>
      </c>
      <c r="T6" s="8">
        <f t="shared" ref="T6:T57" si="1">(R6*S6)/100</f>
        <v>3.1541218637992836</v>
      </c>
    </row>
    <row r="7" spans="1:20" ht="15.75" customHeight="1" x14ac:dyDescent="0.15">
      <c r="A7" s="1" t="s">
        <v>7</v>
      </c>
      <c r="B7" s="2">
        <v>3</v>
      </c>
      <c r="C7" s="1" t="s">
        <v>8</v>
      </c>
      <c r="D7" s="2">
        <v>16</v>
      </c>
      <c r="E7" s="2">
        <v>8.5</v>
      </c>
      <c r="F7" s="2">
        <v>6</v>
      </c>
      <c r="G7" s="6">
        <v>4</v>
      </c>
      <c r="H7" s="2">
        <v>40</v>
      </c>
      <c r="I7" s="2">
        <v>30</v>
      </c>
      <c r="J7" s="2">
        <v>10</v>
      </c>
      <c r="K7" s="2">
        <v>20</v>
      </c>
      <c r="L7" s="2">
        <v>0</v>
      </c>
      <c r="M7" s="2">
        <v>0</v>
      </c>
      <c r="N7" s="1"/>
      <c r="O7" s="1"/>
      <c r="P7" s="1"/>
      <c r="Q7" s="1"/>
      <c r="R7" s="7">
        <f t="shared" si="0"/>
        <v>53.125</v>
      </c>
      <c r="S7" s="15">
        <f t="shared" ref="S7" si="2">(AVERAGE(H7:K7))/G7</f>
        <v>6.25</v>
      </c>
      <c r="T7" s="8">
        <f t="shared" si="1"/>
        <v>3.3203125</v>
      </c>
    </row>
    <row r="8" spans="1:20" ht="15.75" customHeight="1" x14ac:dyDescent="0.15">
      <c r="A8" s="1" t="s">
        <v>9</v>
      </c>
      <c r="B8" s="2">
        <v>1</v>
      </c>
      <c r="C8" s="1" t="s">
        <v>8</v>
      </c>
      <c r="D8" s="2">
        <v>24.5</v>
      </c>
      <c r="E8" s="2">
        <v>11.5</v>
      </c>
      <c r="F8" s="2">
        <v>6</v>
      </c>
      <c r="G8" s="6">
        <v>5</v>
      </c>
      <c r="H8" s="2">
        <v>10</v>
      </c>
      <c r="I8" s="2">
        <v>10</v>
      </c>
      <c r="J8" s="2">
        <v>20</v>
      </c>
      <c r="K8" s="2">
        <v>30</v>
      </c>
      <c r="L8" s="2">
        <v>2</v>
      </c>
      <c r="M8" s="2">
        <v>0</v>
      </c>
      <c r="N8" s="1"/>
      <c r="O8" s="1"/>
      <c r="P8" s="1"/>
      <c r="Q8" s="1"/>
      <c r="R8" s="7">
        <f t="shared" si="0"/>
        <v>46.938775510204081</v>
      </c>
      <c r="S8" s="15">
        <f>(AVERAGE(H8:L8))/G8</f>
        <v>2.88</v>
      </c>
      <c r="T8" s="8">
        <f t="shared" si="1"/>
        <v>1.3518367346938773</v>
      </c>
    </row>
    <row r="9" spans="1:20" ht="15.75" customHeight="1" x14ac:dyDescent="0.15">
      <c r="A9" s="1" t="s">
        <v>9</v>
      </c>
      <c r="B9" s="2">
        <v>2</v>
      </c>
      <c r="C9" s="1" t="s">
        <v>8</v>
      </c>
      <c r="D9" s="2">
        <v>27.5</v>
      </c>
      <c r="E9" s="2">
        <v>10.5</v>
      </c>
      <c r="F9" s="2">
        <v>7</v>
      </c>
      <c r="G9" s="6">
        <v>5</v>
      </c>
      <c r="H9" s="2">
        <v>20</v>
      </c>
      <c r="I9" s="2">
        <v>20</v>
      </c>
      <c r="J9" s="2">
        <v>30</v>
      </c>
      <c r="K9" s="2">
        <v>30</v>
      </c>
      <c r="L9" s="2">
        <v>2</v>
      </c>
      <c r="M9" s="2">
        <v>0</v>
      </c>
      <c r="N9" s="1"/>
      <c r="O9" s="1"/>
      <c r="P9" s="1"/>
      <c r="Q9" s="1"/>
      <c r="R9" s="7">
        <f t="shared" si="0"/>
        <v>38.181818181818187</v>
      </c>
      <c r="S9" s="15">
        <f>(AVERAGE(H9:L9))/G9</f>
        <v>4.08</v>
      </c>
      <c r="T9" s="8">
        <f t="shared" si="1"/>
        <v>1.557818181818182</v>
      </c>
    </row>
    <row r="10" spans="1:20" ht="15.75" customHeight="1" x14ac:dyDescent="0.15">
      <c r="A10" s="1" t="s">
        <v>9</v>
      </c>
      <c r="B10" s="2">
        <v>3</v>
      </c>
      <c r="C10" s="1" t="s">
        <v>8</v>
      </c>
      <c r="D10" s="2">
        <v>24</v>
      </c>
      <c r="E10" s="2">
        <v>12.5</v>
      </c>
      <c r="F10" s="2">
        <v>7</v>
      </c>
      <c r="G10" s="6">
        <v>5</v>
      </c>
      <c r="H10" s="2">
        <v>10</v>
      </c>
      <c r="I10" s="2">
        <v>5</v>
      </c>
      <c r="J10" s="2">
        <v>10</v>
      </c>
      <c r="K10" s="2">
        <v>10</v>
      </c>
      <c r="L10" s="2">
        <v>2</v>
      </c>
      <c r="M10" s="2">
        <v>0</v>
      </c>
      <c r="N10" s="2">
        <v>0</v>
      </c>
      <c r="O10" s="1"/>
      <c r="P10" s="1"/>
      <c r="Q10" s="1"/>
      <c r="R10" s="7">
        <f t="shared" si="0"/>
        <v>52.083333333333336</v>
      </c>
      <c r="S10" s="15">
        <f>(AVERAGE(H10:L10))/G10</f>
        <v>1.48</v>
      </c>
      <c r="T10" s="8">
        <f t="shared" si="1"/>
        <v>0.77083333333333348</v>
      </c>
    </row>
    <row r="11" spans="1:20" ht="15.75" customHeight="1" x14ac:dyDescent="0.1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  <c r="S11" s="15"/>
      <c r="T11" s="8"/>
    </row>
    <row r="12" spans="1:20" ht="15.75" customHeight="1" x14ac:dyDescent="0.1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7"/>
      <c r="S12" s="15"/>
      <c r="T12" s="8"/>
    </row>
    <row r="13" spans="1:20" ht="15.75" customHeight="1" x14ac:dyDescent="0.15">
      <c r="A13" s="1" t="s">
        <v>10</v>
      </c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7"/>
      <c r="S13" s="15"/>
      <c r="T13" s="8"/>
    </row>
    <row r="14" spans="1:20" ht="15.75" customHeight="1" x14ac:dyDescent="0.15">
      <c r="A14" s="1" t="s">
        <v>10</v>
      </c>
      <c r="B14" s="2">
        <v>1</v>
      </c>
      <c r="C14" s="1" t="s">
        <v>8</v>
      </c>
      <c r="D14" s="2">
        <v>12</v>
      </c>
      <c r="E14" s="2">
        <v>6.5</v>
      </c>
      <c r="F14" s="2">
        <v>6</v>
      </c>
      <c r="G14" s="6">
        <v>5</v>
      </c>
      <c r="H14" s="2">
        <v>30</v>
      </c>
      <c r="I14" s="2">
        <v>30</v>
      </c>
      <c r="J14" s="2">
        <v>10</v>
      </c>
      <c r="K14" s="2">
        <v>2</v>
      </c>
      <c r="L14" s="2">
        <v>2</v>
      </c>
      <c r="M14" s="2">
        <v>0</v>
      </c>
      <c r="N14" s="2">
        <v>0</v>
      </c>
      <c r="O14" s="1"/>
      <c r="P14" s="1"/>
      <c r="Q14" s="1"/>
      <c r="R14" s="7">
        <f t="shared" si="0"/>
        <v>54.166666666666664</v>
      </c>
      <c r="S14" s="15">
        <f>(AVERAGE(H14:L14))/G14</f>
        <v>2.96</v>
      </c>
      <c r="T14" s="8">
        <f t="shared" si="1"/>
        <v>1.6033333333333331</v>
      </c>
    </row>
    <row r="15" spans="1:20" ht="15.75" customHeight="1" x14ac:dyDescent="0.15">
      <c r="A15" s="1" t="s">
        <v>10</v>
      </c>
      <c r="B15" s="2">
        <v>2</v>
      </c>
      <c r="C15" s="1" t="s">
        <v>8</v>
      </c>
      <c r="D15" s="2">
        <v>11</v>
      </c>
      <c r="E15" s="2">
        <v>7</v>
      </c>
      <c r="F15" s="2">
        <v>5</v>
      </c>
      <c r="G15" s="6">
        <v>4</v>
      </c>
      <c r="H15" s="2">
        <v>30</v>
      </c>
      <c r="I15" s="2">
        <v>40</v>
      </c>
      <c r="J15" s="2">
        <v>20</v>
      </c>
      <c r="K15" s="2">
        <v>5</v>
      </c>
      <c r="L15" s="2">
        <v>0</v>
      </c>
      <c r="M15" s="1"/>
      <c r="N15" s="1"/>
      <c r="O15" s="1"/>
      <c r="P15" s="1"/>
      <c r="Q15" s="1"/>
      <c r="R15" s="7">
        <f t="shared" si="0"/>
        <v>63.636363636363633</v>
      </c>
      <c r="S15" s="15">
        <f>(AVERAGE(H15:K15))/G15</f>
        <v>5.9375</v>
      </c>
      <c r="T15" s="8">
        <f t="shared" si="1"/>
        <v>3.7784090909090908</v>
      </c>
    </row>
    <row r="16" spans="1:20" ht="15.75" customHeight="1" x14ac:dyDescent="0.15">
      <c r="A16" s="1" t="s">
        <v>10</v>
      </c>
      <c r="B16" s="2">
        <v>3</v>
      </c>
      <c r="C16" s="1" t="s">
        <v>8</v>
      </c>
      <c r="D16" s="2">
        <v>15.5</v>
      </c>
      <c r="E16" s="2">
        <v>11.5</v>
      </c>
      <c r="F16" s="2">
        <v>6</v>
      </c>
      <c r="G16" s="6">
        <v>5</v>
      </c>
      <c r="H16" s="2">
        <v>50</v>
      </c>
      <c r="I16" s="2">
        <v>50</v>
      </c>
      <c r="J16" s="2">
        <v>30</v>
      </c>
      <c r="K16" s="2">
        <v>10</v>
      </c>
      <c r="L16" s="2">
        <v>2</v>
      </c>
      <c r="M16" s="2">
        <v>0</v>
      </c>
      <c r="N16" s="1"/>
      <c r="O16" s="1"/>
      <c r="P16" s="1"/>
      <c r="Q16" s="1"/>
      <c r="R16" s="7">
        <f t="shared" si="0"/>
        <v>74.193548387096769</v>
      </c>
      <c r="S16" s="15">
        <f>(AVERAGE(H16:L16))/G16</f>
        <v>5.68</v>
      </c>
      <c r="T16" s="8">
        <f t="shared" si="1"/>
        <v>4.2141935483870965</v>
      </c>
    </row>
    <row r="17" spans="1:20" ht="15.75" customHeight="1" x14ac:dyDescent="0.15">
      <c r="A17" s="11" t="s">
        <v>11</v>
      </c>
      <c r="B17" s="2">
        <v>1</v>
      </c>
      <c r="C17" s="1" t="s">
        <v>8</v>
      </c>
      <c r="D17" s="2">
        <v>18</v>
      </c>
      <c r="E17" s="2">
        <v>11</v>
      </c>
      <c r="F17" s="2">
        <v>5</v>
      </c>
      <c r="G17" s="6">
        <v>4</v>
      </c>
      <c r="H17" s="2">
        <v>50</v>
      </c>
      <c r="I17" s="2">
        <v>50</v>
      </c>
      <c r="J17" s="2">
        <v>20</v>
      </c>
      <c r="K17" s="2">
        <v>3</v>
      </c>
      <c r="L17" s="2">
        <v>0</v>
      </c>
      <c r="M17" s="2">
        <v>0</v>
      </c>
      <c r="N17" s="1"/>
      <c r="O17" s="1"/>
      <c r="P17" s="1"/>
      <c r="Q17" s="1"/>
      <c r="R17" s="7">
        <f t="shared" si="0"/>
        <v>61.111111111111114</v>
      </c>
      <c r="S17" s="15">
        <f>(AVERAGE(H17:K17))/G17</f>
        <v>7.6875</v>
      </c>
      <c r="T17" s="8">
        <f t="shared" si="1"/>
        <v>4.697916666666667</v>
      </c>
    </row>
    <row r="18" spans="1:20" ht="15.75" customHeight="1" x14ac:dyDescent="0.15">
      <c r="A18" s="11" t="s">
        <v>11</v>
      </c>
      <c r="B18" s="2">
        <v>2</v>
      </c>
      <c r="C18" s="1" t="s">
        <v>8</v>
      </c>
      <c r="D18" s="2">
        <v>19</v>
      </c>
      <c r="E18" s="2">
        <v>10</v>
      </c>
      <c r="F18" s="2">
        <v>6</v>
      </c>
      <c r="G18" s="6">
        <v>4</v>
      </c>
      <c r="H18" s="2">
        <v>10</v>
      </c>
      <c r="I18" s="2">
        <v>30</v>
      </c>
      <c r="J18" s="2">
        <v>10</v>
      </c>
      <c r="K18" s="2">
        <v>2</v>
      </c>
      <c r="L18" s="2">
        <v>0</v>
      </c>
      <c r="M18" s="2">
        <v>0</v>
      </c>
      <c r="N18" s="1"/>
      <c r="O18" s="1"/>
      <c r="P18" s="1"/>
      <c r="Q18" s="1"/>
      <c r="R18" s="7">
        <f t="shared" si="0"/>
        <v>52.631578947368418</v>
      </c>
      <c r="S18" s="15">
        <f>(AVERAGE(H18:K18))/G18</f>
        <v>3.25</v>
      </c>
      <c r="T18" s="8">
        <f t="shared" si="1"/>
        <v>1.7105263157894737</v>
      </c>
    </row>
    <row r="19" spans="1:20" ht="15.75" customHeight="1" x14ac:dyDescent="0.15">
      <c r="A19" s="11" t="s">
        <v>11</v>
      </c>
      <c r="B19" s="2">
        <v>3</v>
      </c>
      <c r="C19" s="1" t="s">
        <v>8</v>
      </c>
      <c r="D19" s="2">
        <v>17</v>
      </c>
      <c r="E19" s="2">
        <v>9.5</v>
      </c>
      <c r="F19" s="2">
        <v>4</v>
      </c>
      <c r="G19" s="6">
        <v>3</v>
      </c>
      <c r="H19" s="2">
        <v>20</v>
      </c>
      <c r="I19" s="2">
        <v>10</v>
      </c>
      <c r="J19" s="2">
        <v>2</v>
      </c>
      <c r="K19" s="2">
        <v>0</v>
      </c>
      <c r="L19" s="1"/>
      <c r="M19" s="1"/>
      <c r="N19" s="1"/>
      <c r="O19" s="1"/>
      <c r="P19" s="1"/>
      <c r="Q19" s="1"/>
      <c r="R19" s="7">
        <f t="shared" si="0"/>
        <v>55.882352941176471</v>
      </c>
      <c r="S19" s="15">
        <f>(AVERAGE(H19:J19))/G19</f>
        <v>3.5555555555555554</v>
      </c>
      <c r="T19" s="8">
        <f t="shared" si="1"/>
        <v>1.9869281045751634</v>
      </c>
    </row>
    <row r="20" spans="1:20" ht="15.75" customHeight="1" x14ac:dyDescent="0.15">
      <c r="A20" s="1"/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6"/>
      <c r="T20" s="8"/>
    </row>
    <row r="21" spans="1:20" ht="15.75" customHeight="1" x14ac:dyDescent="0.15">
      <c r="A21" s="1" t="s">
        <v>12</v>
      </c>
      <c r="B21" s="2">
        <v>1</v>
      </c>
      <c r="C21" s="1" t="s">
        <v>13</v>
      </c>
      <c r="D21" s="2">
        <v>12</v>
      </c>
      <c r="E21" s="2">
        <v>0</v>
      </c>
      <c r="F21" s="2">
        <v>4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6"/>
      <c r="T21" s="8"/>
    </row>
    <row r="22" spans="1:20" ht="15.75" customHeight="1" x14ac:dyDescent="0.15">
      <c r="A22" s="1" t="s">
        <v>12</v>
      </c>
      <c r="B22" s="2">
        <v>2</v>
      </c>
      <c r="C22" s="1" t="s">
        <v>13</v>
      </c>
      <c r="D22" s="2">
        <v>14</v>
      </c>
      <c r="E22" s="2">
        <v>0</v>
      </c>
      <c r="F22" s="2">
        <v>5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6"/>
      <c r="T22" s="8"/>
    </row>
    <row r="23" spans="1:20" ht="15.75" customHeight="1" x14ac:dyDescent="0.15">
      <c r="A23" s="1" t="s">
        <v>12</v>
      </c>
      <c r="B23" s="2">
        <v>3</v>
      </c>
      <c r="C23" s="1" t="s">
        <v>13</v>
      </c>
      <c r="D23" s="2">
        <v>10</v>
      </c>
      <c r="E23" s="2">
        <v>0</v>
      </c>
      <c r="F23" s="2">
        <v>5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6"/>
      <c r="T23" s="8"/>
    </row>
    <row r="24" spans="1:20" ht="15.75" customHeight="1" x14ac:dyDescent="0.15">
      <c r="A24" s="1" t="s">
        <v>14</v>
      </c>
      <c r="B24" s="2">
        <v>1</v>
      </c>
      <c r="C24" s="1" t="s">
        <v>13</v>
      </c>
      <c r="D24" s="2">
        <v>27.5</v>
      </c>
      <c r="E24" s="2">
        <v>0</v>
      </c>
      <c r="F24" s="2">
        <v>8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6"/>
      <c r="T24" s="8"/>
    </row>
    <row r="25" spans="1:20" ht="15.75" customHeight="1" x14ac:dyDescent="0.15">
      <c r="A25" s="1" t="s">
        <v>14</v>
      </c>
      <c r="B25" s="2">
        <v>2</v>
      </c>
      <c r="C25" s="1" t="s">
        <v>13</v>
      </c>
      <c r="D25" s="2">
        <v>25</v>
      </c>
      <c r="E25" s="2">
        <v>0</v>
      </c>
      <c r="F25" s="2">
        <v>7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6"/>
      <c r="T25" s="8"/>
    </row>
    <row r="26" spans="1:20" ht="15.75" customHeight="1" x14ac:dyDescent="0.15">
      <c r="A26" s="1" t="s">
        <v>14</v>
      </c>
      <c r="B26" s="2">
        <v>3</v>
      </c>
      <c r="C26" s="1" t="s">
        <v>13</v>
      </c>
      <c r="D26" s="2">
        <v>31.5</v>
      </c>
      <c r="E26" s="2">
        <v>0</v>
      </c>
      <c r="F26" s="2">
        <v>6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6"/>
      <c r="T26" s="8"/>
    </row>
    <row r="27" spans="1:20" ht="15.75" customHeight="1" x14ac:dyDescent="0.15">
      <c r="A27" s="1" t="s">
        <v>10</v>
      </c>
      <c r="B27" s="2">
        <v>1</v>
      </c>
      <c r="C27" s="1" t="s">
        <v>13</v>
      </c>
      <c r="D27" s="2">
        <v>18.5</v>
      </c>
      <c r="E27" s="2">
        <v>0</v>
      </c>
      <c r="F27" s="2">
        <v>6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6"/>
      <c r="T27" s="8"/>
    </row>
    <row r="28" spans="1:20" ht="15.75" customHeight="1" x14ac:dyDescent="0.15">
      <c r="A28" s="1" t="s">
        <v>10</v>
      </c>
      <c r="B28" s="2">
        <v>2</v>
      </c>
      <c r="C28" s="1" t="s">
        <v>13</v>
      </c>
      <c r="D28" s="2">
        <v>16</v>
      </c>
      <c r="E28" s="2">
        <v>0</v>
      </c>
      <c r="F28" s="2">
        <v>6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6"/>
      <c r="T28" s="8"/>
    </row>
    <row r="29" spans="1:20" ht="15.75" customHeight="1" x14ac:dyDescent="0.15">
      <c r="A29" s="1" t="s">
        <v>10</v>
      </c>
      <c r="B29" s="2">
        <v>3</v>
      </c>
      <c r="C29" s="1" t="s">
        <v>13</v>
      </c>
      <c r="D29" s="2">
        <v>16</v>
      </c>
      <c r="E29" s="2">
        <v>0</v>
      </c>
      <c r="F29" s="2">
        <v>6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6"/>
      <c r="T29" s="8"/>
    </row>
    <row r="30" spans="1:20" ht="15.75" customHeight="1" x14ac:dyDescent="0.15">
      <c r="A30" s="11" t="s">
        <v>11</v>
      </c>
      <c r="B30" s="2">
        <v>1</v>
      </c>
      <c r="C30" s="1" t="s">
        <v>13</v>
      </c>
      <c r="D30" s="2">
        <v>15</v>
      </c>
      <c r="E30" s="2">
        <v>0</v>
      </c>
      <c r="F30" s="2">
        <v>6</v>
      </c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6"/>
      <c r="T30" s="8"/>
    </row>
    <row r="31" spans="1:20" ht="15.75" customHeight="1" x14ac:dyDescent="0.15">
      <c r="A31" s="11" t="s">
        <v>11</v>
      </c>
      <c r="B31" s="2">
        <v>2</v>
      </c>
      <c r="C31" s="1" t="s">
        <v>13</v>
      </c>
      <c r="D31" s="2">
        <v>12.5</v>
      </c>
      <c r="E31" s="2">
        <v>0</v>
      </c>
      <c r="F31" s="2">
        <v>4</v>
      </c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6"/>
      <c r="T31" s="8"/>
    </row>
    <row r="32" spans="1:20" ht="15.75" customHeight="1" x14ac:dyDescent="0.15">
      <c r="A32" s="11" t="s">
        <v>11</v>
      </c>
      <c r="B32" s="2">
        <v>3</v>
      </c>
      <c r="C32" s="1" t="s">
        <v>13</v>
      </c>
      <c r="D32" s="2">
        <v>13</v>
      </c>
      <c r="E32" s="2">
        <v>0</v>
      </c>
      <c r="F32" s="2">
        <v>5</v>
      </c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6"/>
      <c r="T32" s="8"/>
    </row>
    <row r="33" spans="1:20" ht="15.75" customHeight="1" x14ac:dyDescent="0.15">
      <c r="A33" s="1"/>
      <c r="B33" s="1"/>
      <c r="C33" s="1"/>
      <c r="D33" s="1"/>
      <c r="E33" s="1"/>
      <c r="F33" s="1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6"/>
      <c r="T33" s="8"/>
    </row>
    <row r="34" spans="1:20" ht="15.75" customHeight="1" x14ac:dyDescent="0.15">
      <c r="A34" s="1" t="s">
        <v>12</v>
      </c>
      <c r="B34" s="2">
        <v>1</v>
      </c>
      <c r="C34" s="1" t="s">
        <v>15</v>
      </c>
      <c r="D34" s="2">
        <v>17</v>
      </c>
      <c r="E34" s="2">
        <v>11</v>
      </c>
      <c r="F34" s="2">
        <v>5</v>
      </c>
      <c r="G34" s="6">
        <v>4</v>
      </c>
      <c r="H34" s="2">
        <v>5</v>
      </c>
      <c r="I34" s="2">
        <v>10</v>
      </c>
      <c r="J34" s="2">
        <v>30</v>
      </c>
      <c r="K34" s="2">
        <v>2</v>
      </c>
      <c r="L34" s="2">
        <v>0</v>
      </c>
      <c r="M34" s="1"/>
      <c r="N34" s="1"/>
      <c r="O34" s="1"/>
      <c r="P34" s="1"/>
      <c r="Q34" s="1"/>
      <c r="R34" s="7">
        <f t="shared" si="0"/>
        <v>64.705882352941174</v>
      </c>
      <c r="S34" s="15">
        <f t="shared" ref="S34" si="3">(AVERAGE(H34:K34))/G34</f>
        <v>2.9375</v>
      </c>
      <c r="T34" s="8">
        <f t="shared" si="1"/>
        <v>1.900735294117647</v>
      </c>
    </row>
    <row r="35" spans="1:20" ht="15.75" customHeight="1" x14ac:dyDescent="0.15">
      <c r="A35" s="1" t="s">
        <v>12</v>
      </c>
      <c r="B35" s="2">
        <v>2</v>
      </c>
      <c r="C35" s="1" t="s">
        <v>15</v>
      </c>
      <c r="D35" s="2">
        <v>12</v>
      </c>
      <c r="E35" s="2">
        <v>11</v>
      </c>
      <c r="F35" s="2">
        <v>5</v>
      </c>
      <c r="G35" s="6">
        <v>4</v>
      </c>
      <c r="H35" s="2">
        <v>5</v>
      </c>
      <c r="I35" s="2">
        <v>5</v>
      </c>
      <c r="J35" s="2">
        <v>5</v>
      </c>
      <c r="K35" s="2">
        <v>2</v>
      </c>
      <c r="L35" s="2">
        <v>0</v>
      </c>
      <c r="M35" s="1"/>
      <c r="N35" s="1"/>
      <c r="O35" s="1"/>
      <c r="P35" s="1"/>
      <c r="Q35" s="1"/>
      <c r="R35" s="7">
        <f t="shared" si="0"/>
        <v>91.666666666666657</v>
      </c>
      <c r="S35" s="15">
        <f>(AVERAGE(H35:K35))/G35</f>
        <v>1.0625</v>
      </c>
      <c r="T35" s="8">
        <f t="shared" si="1"/>
        <v>0.97395833333333326</v>
      </c>
    </row>
    <row r="36" spans="1:20" ht="15.75" customHeight="1" x14ac:dyDescent="0.15">
      <c r="A36" s="1" t="s">
        <v>12</v>
      </c>
      <c r="B36" s="2">
        <v>3</v>
      </c>
      <c r="C36" s="1" t="s">
        <v>15</v>
      </c>
      <c r="D36" s="2">
        <v>13</v>
      </c>
      <c r="E36" s="2">
        <v>10</v>
      </c>
      <c r="F36" s="2">
        <v>6</v>
      </c>
      <c r="G36" s="6">
        <v>5</v>
      </c>
      <c r="H36" s="2">
        <v>30</v>
      </c>
      <c r="I36" s="2">
        <v>10</v>
      </c>
      <c r="J36" s="2">
        <v>50</v>
      </c>
      <c r="K36" s="2">
        <v>30</v>
      </c>
      <c r="L36" s="2">
        <v>2</v>
      </c>
      <c r="M36" s="2">
        <v>0</v>
      </c>
      <c r="N36" s="1"/>
      <c r="O36" s="1"/>
      <c r="P36" s="1"/>
      <c r="Q36" s="1"/>
      <c r="R36" s="7">
        <f>(E36/D36)*100</f>
        <v>76.923076923076934</v>
      </c>
      <c r="S36" s="15">
        <f>(AVERAGE(H36:L36))/G36</f>
        <v>4.88</v>
      </c>
      <c r="T36" s="8">
        <f t="shared" si="1"/>
        <v>3.7538461538461543</v>
      </c>
    </row>
    <row r="37" spans="1:20" ht="15.75" customHeight="1" x14ac:dyDescent="0.15">
      <c r="A37" s="1" t="s">
        <v>14</v>
      </c>
      <c r="B37" s="2">
        <v>1</v>
      </c>
      <c r="C37" s="1" t="s">
        <v>15</v>
      </c>
      <c r="D37" s="2">
        <v>28.5</v>
      </c>
      <c r="E37" s="2">
        <v>14.5</v>
      </c>
      <c r="F37" s="2">
        <v>6</v>
      </c>
      <c r="G37" s="6">
        <v>4</v>
      </c>
      <c r="H37" s="2">
        <v>10</v>
      </c>
      <c r="I37" s="2">
        <v>5</v>
      </c>
      <c r="J37" s="2">
        <v>15</v>
      </c>
      <c r="K37" s="2">
        <v>15</v>
      </c>
      <c r="L37" s="2">
        <v>0</v>
      </c>
      <c r="M37" s="2">
        <v>0</v>
      </c>
      <c r="N37" s="1"/>
      <c r="O37" s="1"/>
      <c r="P37" s="1"/>
      <c r="Q37" s="1"/>
      <c r="R37" s="7">
        <f t="shared" si="0"/>
        <v>50.877192982456144</v>
      </c>
      <c r="S37" s="15">
        <f>(AVERAGE(H37:K37))/G37</f>
        <v>2.8125</v>
      </c>
      <c r="T37" s="8">
        <f>(R37*S37)/100</f>
        <v>1.4309210526315792</v>
      </c>
    </row>
    <row r="38" spans="1:20" ht="15.75" customHeight="1" x14ac:dyDescent="0.15">
      <c r="A38" s="1" t="s">
        <v>14</v>
      </c>
      <c r="B38" s="2">
        <v>2</v>
      </c>
      <c r="C38" s="1" t="s">
        <v>15</v>
      </c>
      <c r="D38" s="2">
        <v>21</v>
      </c>
      <c r="E38" s="2">
        <v>11</v>
      </c>
      <c r="F38" s="2">
        <v>6</v>
      </c>
      <c r="G38" s="6">
        <v>4</v>
      </c>
      <c r="H38" s="2">
        <v>10</v>
      </c>
      <c r="I38" s="2">
        <v>60</v>
      </c>
      <c r="J38" s="2">
        <v>20</v>
      </c>
      <c r="K38" s="2">
        <v>10</v>
      </c>
      <c r="L38" s="2">
        <v>1</v>
      </c>
      <c r="M38" s="2">
        <v>0</v>
      </c>
      <c r="N38" s="1"/>
      <c r="O38" s="1"/>
      <c r="P38" s="1"/>
      <c r="Q38" s="1"/>
      <c r="R38" s="7">
        <f t="shared" si="0"/>
        <v>52.380952380952387</v>
      </c>
      <c r="S38" s="15">
        <f>(AVERAGE(H38:K38))/G38</f>
        <v>6.25</v>
      </c>
      <c r="T38" s="8">
        <f t="shared" si="1"/>
        <v>3.2738095238095242</v>
      </c>
    </row>
    <row r="39" spans="1:20" ht="15.75" customHeight="1" x14ac:dyDescent="0.15">
      <c r="A39" s="1" t="s">
        <v>14</v>
      </c>
      <c r="B39" s="2">
        <v>3</v>
      </c>
      <c r="C39" s="1" t="s">
        <v>15</v>
      </c>
      <c r="D39" s="1"/>
      <c r="E39" s="1"/>
      <c r="F39" s="1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7"/>
      <c r="S39" s="15"/>
      <c r="T39" s="8"/>
    </row>
    <row r="40" spans="1:20" ht="15.75" customHeight="1" x14ac:dyDescent="0.15">
      <c r="A40" s="1" t="s">
        <v>10</v>
      </c>
      <c r="B40" s="2">
        <v>1</v>
      </c>
      <c r="C40" s="1" t="s">
        <v>15</v>
      </c>
      <c r="D40" s="2">
        <v>16</v>
      </c>
      <c r="E40" s="2">
        <v>10</v>
      </c>
      <c r="F40" s="2">
        <v>6</v>
      </c>
      <c r="G40" s="6">
        <v>5</v>
      </c>
      <c r="H40" s="2">
        <v>25</v>
      </c>
      <c r="I40" s="2">
        <v>10</v>
      </c>
      <c r="J40" s="2">
        <v>30</v>
      </c>
      <c r="K40" s="2">
        <v>5</v>
      </c>
      <c r="L40" s="2">
        <v>1</v>
      </c>
      <c r="M40" s="2">
        <v>0</v>
      </c>
      <c r="N40" s="1"/>
      <c r="O40" s="1"/>
      <c r="P40" s="1"/>
      <c r="Q40" s="1"/>
      <c r="R40" s="7">
        <f t="shared" si="0"/>
        <v>62.5</v>
      </c>
      <c r="S40" s="15">
        <f>(AVERAGE(H40:L40))/G40</f>
        <v>2.84</v>
      </c>
      <c r="T40" s="8">
        <f t="shared" si="1"/>
        <v>1.7749999999999999</v>
      </c>
    </row>
    <row r="41" spans="1:20" ht="15.75" customHeight="1" x14ac:dyDescent="0.15">
      <c r="A41" s="1" t="s">
        <v>10</v>
      </c>
      <c r="B41" s="2">
        <v>2</v>
      </c>
      <c r="C41" s="1" t="s">
        <v>15</v>
      </c>
      <c r="D41" s="2">
        <v>17</v>
      </c>
      <c r="E41" s="2">
        <v>11</v>
      </c>
      <c r="F41" s="2">
        <v>6</v>
      </c>
      <c r="G41" s="6">
        <v>5</v>
      </c>
      <c r="H41" s="2">
        <v>50</v>
      </c>
      <c r="I41" s="2">
        <v>50</v>
      </c>
      <c r="J41" s="2">
        <v>20</v>
      </c>
      <c r="K41" s="2">
        <v>5</v>
      </c>
      <c r="L41" s="2">
        <v>5</v>
      </c>
      <c r="M41" s="2">
        <v>0</v>
      </c>
      <c r="N41" s="1"/>
      <c r="O41" s="1"/>
      <c r="P41" s="1"/>
      <c r="Q41" s="1"/>
      <c r="R41" s="7">
        <f t="shared" si="0"/>
        <v>64.705882352941174</v>
      </c>
      <c r="S41" s="15">
        <f>(AVERAGE(H41:L41))/G41</f>
        <v>5.2</v>
      </c>
      <c r="T41" s="8">
        <f t="shared" si="1"/>
        <v>3.3647058823529417</v>
      </c>
    </row>
    <row r="42" spans="1:20" ht="15.75" customHeight="1" x14ac:dyDescent="0.15">
      <c r="A42" s="1" t="s">
        <v>10</v>
      </c>
      <c r="B42" s="2">
        <v>3</v>
      </c>
      <c r="C42" s="1" t="s">
        <v>15</v>
      </c>
      <c r="D42" s="2">
        <v>14.5</v>
      </c>
      <c r="E42" s="2">
        <v>9</v>
      </c>
      <c r="F42" s="2">
        <v>4</v>
      </c>
      <c r="G42" s="6">
        <v>3</v>
      </c>
      <c r="H42" s="2">
        <v>20</v>
      </c>
      <c r="I42" s="2">
        <v>20</v>
      </c>
      <c r="J42" s="2">
        <v>5</v>
      </c>
      <c r="K42" s="2">
        <v>0</v>
      </c>
      <c r="L42" s="1"/>
      <c r="M42" s="1"/>
      <c r="N42" s="1"/>
      <c r="O42" s="1"/>
      <c r="P42" s="1"/>
      <c r="Q42" s="1"/>
      <c r="R42" s="7">
        <f t="shared" si="0"/>
        <v>62.068965517241381</v>
      </c>
      <c r="S42" s="15">
        <f>(AVERAGE(H42:J42))/G42</f>
        <v>5</v>
      </c>
      <c r="T42" s="8">
        <f t="shared" si="1"/>
        <v>3.1034482758620694</v>
      </c>
    </row>
    <row r="43" spans="1:20" ht="13" x14ac:dyDescent="0.15">
      <c r="A43" s="11" t="s">
        <v>11</v>
      </c>
      <c r="B43" s="2">
        <v>1</v>
      </c>
      <c r="C43" s="1" t="s">
        <v>15</v>
      </c>
      <c r="D43" s="2">
        <v>13</v>
      </c>
      <c r="E43" s="2">
        <v>10</v>
      </c>
      <c r="F43" s="2">
        <v>3</v>
      </c>
      <c r="G43" s="6">
        <v>3</v>
      </c>
      <c r="H43" s="2">
        <v>20</v>
      </c>
      <c r="I43" s="2">
        <v>20</v>
      </c>
      <c r="J43" s="2">
        <v>5</v>
      </c>
      <c r="K43" s="1"/>
      <c r="L43" s="1"/>
      <c r="M43" s="1"/>
      <c r="N43" s="1"/>
      <c r="O43" s="1"/>
      <c r="P43" s="1"/>
      <c r="Q43" s="1"/>
      <c r="R43" s="7">
        <f t="shared" si="0"/>
        <v>76.923076923076934</v>
      </c>
      <c r="S43" s="15">
        <f>(AVERAGE(H43:J43))/G43</f>
        <v>5</v>
      </c>
      <c r="T43" s="8">
        <f t="shared" si="1"/>
        <v>3.8461538461538463</v>
      </c>
    </row>
    <row r="44" spans="1:20" ht="13" x14ac:dyDescent="0.15">
      <c r="A44" s="11" t="s">
        <v>11</v>
      </c>
      <c r="B44" s="2">
        <v>2</v>
      </c>
      <c r="C44" s="1" t="s">
        <v>15</v>
      </c>
      <c r="D44" s="2">
        <v>20</v>
      </c>
      <c r="E44" s="2">
        <v>11</v>
      </c>
      <c r="F44" s="2">
        <v>5</v>
      </c>
      <c r="G44" s="6">
        <v>4</v>
      </c>
      <c r="H44" s="2">
        <v>60</v>
      </c>
      <c r="I44" s="2">
        <v>60</v>
      </c>
      <c r="J44" s="2">
        <v>40</v>
      </c>
      <c r="K44" s="2">
        <v>5</v>
      </c>
      <c r="L44" s="2">
        <v>0</v>
      </c>
      <c r="M44" s="2">
        <v>0</v>
      </c>
      <c r="N44" s="1"/>
      <c r="O44" s="1"/>
      <c r="P44" s="1"/>
      <c r="Q44" s="1"/>
      <c r="R44" s="7">
        <f t="shared" si="0"/>
        <v>55.000000000000007</v>
      </c>
      <c r="S44" s="15">
        <f t="shared" ref="S44" si="4">(AVERAGE(H44:K44))/G44</f>
        <v>10.3125</v>
      </c>
      <c r="T44" s="8">
        <f t="shared" si="1"/>
        <v>5.6718750000000009</v>
      </c>
    </row>
    <row r="45" spans="1:20" ht="13" x14ac:dyDescent="0.15">
      <c r="A45" s="11" t="s">
        <v>11</v>
      </c>
      <c r="B45" s="2">
        <v>3</v>
      </c>
      <c r="C45" s="1" t="s">
        <v>15</v>
      </c>
      <c r="D45" s="2">
        <v>10</v>
      </c>
      <c r="E45" s="2">
        <v>9</v>
      </c>
      <c r="F45" s="2">
        <v>3</v>
      </c>
      <c r="G45" s="6">
        <v>3</v>
      </c>
      <c r="H45" s="2">
        <v>20</v>
      </c>
      <c r="I45" s="2">
        <v>30</v>
      </c>
      <c r="J45" s="2">
        <v>20</v>
      </c>
      <c r="K45" s="1"/>
      <c r="L45" s="1"/>
      <c r="M45" s="1"/>
      <c r="N45" s="1"/>
      <c r="O45" s="1"/>
      <c r="P45" s="1"/>
      <c r="Q45" s="1"/>
      <c r="R45" s="7">
        <f t="shared" si="0"/>
        <v>90</v>
      </c>
      <c r="S45" s="15">
        <f t="shared" ref="S45" si="5">(AVERAGE(H45:J45))/G45</f>
        <v>7.7777777777777777</v>
      </c>
      <c r="T45" s="8">
        <f t="shared" si="1"/>
        <v>7</v>
      </c>
    </row>
    <row r="46" spans="1:20" ht="13" x14ac:dyDescent="0.15">
      <c r="A46" s="1"/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6"/>
      <c r="T46" s="8"/>
    </row>
    <row r="47" spans="1:20" ht="13" x14ac:dyDescent="0.15">
      <c r="A47" s="1" t="s">
        <v>12</v>
      </c>
      <c r="B47" s="2">
        <v>1</v>
      </c>
      <c r="C47" s="1" t="s">
        <v>16</v>
      </c>
      <c r="D47" s="2">
        <v>17.5</v>
      </c>
      <c r="E47" s="2">
        <v>10</v>
      </c>
      <c r="F47" s="2">
        <v>6</v>
      </c>
      <c r="G47" s="6">
        <v>4</v>
      </c>
      <c r="H47" s="2">
        <v>40</v>
      </c>
      <c r="I47" s="2">
        <v>30</v>
      </c>
      <c r="J47" s="2">
        <v>5</v>
      </c>
      <c r="K47" s="2">
        <v>5</v>
      </c>
      <c r="L47" s="2">
        <v>0</v>
      </c>
      <c r="M47" s="2">
        <v>0</v>
      </c>
      <c r="N47" s="1"/>
      <c r="O47" s="1"/>
      <c r="P47" s="1"/>
      <c r="Q47" s="1"/>
      <c r="R47" s="7">
        <f t="shared" si="0"/>
        <v>57.142857142857139</v>
      </c>
      <c r="S47" s="15">
        <f t="shared" ref="S47" si="6">(AVERAGE(H47:K47))/G47</f>
        <v>5</v>
      </c>
      <c r="T47" s="8">
        <f t="shared" si="1"/>
        <v>2.8571428571428568</v>
      </c>
    </row>
    <row r="48" spans="1:20" ht="13" x14ac:dyDescent="0.15">
      <c r="A48" s="1" t="s">
        <v>12</v>
      </c>
      <c r="B48" s="2">
        <v>2</v>
      </c>
      <c r="C48" s="1" t="s">
        <v>16</v>
      </c>
      <c r="D48" s="2">
        <v>16</v>
      </c>
      <c r="E48" s="2">
        <v>9</v>
      </c>
      <c r="F48" s="2">
        <v>5</v>
      </c>
      <c r="G48" s="6">
        <v>4</v>
      </c>
      <c r="H48" s="2">
        <v>5</v>
      </c>
      <c r="I48" s="2">
        <v>20</v>
      </c>
      <c r="J48" s="2">
        <v>20</v>
      </c>
      <c r="K48" s="2">
        <v>2</v>
      </c>
      <c r="L48" s="2">
        <v>0</v>
      </c>
      <c r="M48" s="2">
        <v>0</v>
      </c>
      <c r="N48" s="1"/>
      <c r="O48" s="1"/>
      <c r="P48" s="1"/>
      <c r="Q48" s="1"/>
      <c r="R48" s="7">
        <f>(E48/D48)*100</f>
        <v>56.25</v>
      </c>
      <c r="S48" s="15">
        <f>(AVERAGE(H48:K48))/G48</f>
        <v>2.9375</v>
      </c>
      <c r="T48" s="8">
        <f t="shared" si="1"/>
        <v>1.65234375</v>
      </c>
    </row>
    <row r="49" spans="1:20" ht="13" x14ac:dyDescent="0.15">
      <c r="A49" s="1" t="s">
        <v>12</v>
      </c>
      <c r="B49" s="2">
        <v>3</v>
      </c>
      <c r="C49" s="1" t="s">
        <v>16</v>
      </c>
      <c r="D49" s="2">
        <v>10</v>
      </c>
      <c r="E49" s="2">
        <v>8</v>
      </c>
      <c r="F49" s="2">
        <v>5</v>
      </c>
      <c r="G49" s="6">
        <v>4</v>
      </c>
      <c r="H49" s="2">
        <v>5</v>
      </c>
      <c r="I49" s="2">
        <v>5</v>
      </c>
      <c r="J49" s="2">
        <v>5</v>
      </c>
      <c r="K49" s="2">
        <v>5</v>
      </c>
      <c r="L49" s="2">
        <v>0</v>
      </c>
      <c r="M49" s="1"/>
      <c r="N49" s="1"/>
      <c r="O49" s="1"/>
      <c r="P49" s="1"/>
      <c r="Q49" s="1"/>
      <c r="R49" s="7">
        <f t="shared" si="0"/>
        <v>80</v>
      </c>
      <c r="S49" s="15">
        <f>(AVERAGE(H49:K49))/G49</f>
        <v>1.25</v>
      </c>
      <c r="T49" s="8">
        <f t="shared" si="1"/>
        <v>1</v>
      </c>
    </row>
    <row r="50" spans="1:20" ht="13" x14ac:dyDescent="0.15">
      <c r="A50" s="1" t="s">
        <v>14</v>
      </c>
      <c r="B50" s="2">
        <v>1</v>
      </c>
      <c r="C50" s="1" t="s">
        <v>16</v>
      </c>
      <c r="D50" s="2">
        <v>25</v>
      </c>
      <c r="E50" s="2">
        <v>14</v>
      </c>
      <c r="F50" s="2">
        <v>6</v>
      </c>
      <c r="G50" s="6">
        <v>5</v>
      </c>
      <c r="H50" s="2">
        <v>30</v>
      </c>
      <c r="I50" s="2">
        <v>10</v>
      </c>
      <c r="J50" s="2">
        <v>5</v>
      </c>
      <c r="K50" s="2">
        <v>20</v>
      </c>
      <c r="L50" s="2">
        <v>2</v>
      </c>
      <c r="M50" s="2">
        <v>0</v>
      </c>
      <c r="N50" s="1"/>
      <c r="O50" s="1"/>
      <c r="P50" s="1"/>
      <c r="Q50" s="1"/>
      <c r="R50" s="7">
        <f t="shared" si="0"/>
        <v>56.000000000000007</v>
      </c>
      <c r="S50" s="15">
        <f>(AVERAGE(H50:L50))/G50</f>
        <v>2.68</v>
      </c>
      <c r="T50" s="8">
        <f t="shared" si="1"/>
        <v>1.5008000000000004</v>
      </c>
    </row>
    <row r="51" spans="1:20" ht="13" x14ac:dyDescent="0.15">
      <c r="A51" s="1" t="s">
        <v>14</v>
      </c>
      <c r="B51" s="2">
        <v>2</v>
      </c>
      <c r="C51" s="1" t="s">
        <v>16</v>
      </c>
      <c r="D51" s="2">
        <v>25</v>
      </c>
      <c r="E51" s="2">
        <v>13</v>
      </c>
      <c r="F51" s="2">
        <v>6</v>
      </c>
      <c r="G51" s="6">
        <v>6</v>
      </c>
      <c r="H51" s="2">
        <v>10</v>
      </c>
      <c r="I51" s="2">
        <v>10</v>
      </c>
      <c r="J51" s="2">
        <v>10</v>
      </c>
      <c r="K51" s="2">
        <v>20</v>
      </c>
      <c r="L51" s="2">
        <v>2</v>
      </c>
      <c r="M51" s="2">
        <v>0</v>
      </c>
      <c r="N51" s="1"/>
      <c r="O51" s="1"/>
      <c r="P51" s="1"/>
      <c r="Q51" s="1"/>
      <c r="R51" s="7">
        <f t="shared" si="0"/>
        <v>52</v>
      </c>
      <c r="S51" s="15">
        <f>(AVERAGE(H51:M51))/G51</f>
        <v>1.4444444444444444</v>
      </c>
      <c r="T51" s="8">
        <f t="shared" si="1"/>
        <v>0.75111111111111117</v>
      </c>
    </row>
    <row r="52" spans="1:20" ht="13" x14ac:dyDescent="0.15">
      <c r="A52" s="1" t="s">
        <v>14</v>
      </c>
      <c r="B52" s="2">
        <v>3</v>
      </c>
      <c r="C52" s="1" t="s">
        <v>16</v>
      </c>
      <c r="D52" s="2">
        <v>22.5</v>
      </c>
      <c r="E52" s="2">
        <v>14</v>
      </c>
      <c r="F52" s="2">
        <v>6</v>
      </c>
      <c r="G52" s="6">
        <v>6</v>
      </c>
      <c r="H52" s="2">
        <v>10</v>
      </c>
      <c r="I52" s="2">
        <v>10</v>
      </c>
      <c r="J52" s="2">
        <v>15</v>
      </c>
      <c r="K52" s="2">
        <v>15</v>
      </c>
      <c r="L52" s="2">
        <v>2</v>
      </c>
      <c r="M52" s="2">
        <v>1</v>
      </c>
      <c r="N52" s="1"/>
      <c r="O52" s="1"/>
      <c r="P52" s="1"/>
      <c r="Q52" s="1"/>
      <c r="R52" s="7">
        <f t="shared" si="0"/>
        <v>62.222222222222221</v>
      </c>
      <c r="S52" s="15">
        <f>(AVERAGE(H52:M52))/G52</f>
        <v>1.4722222222222223</v>
      </c>
      <c r="T52" s="8">
        <f t="shared" si="1"/>
        <v>0.91604938271604941</v>
      </c>
    </row>
    <row r="53" spans="1:20" ht="13" x14ac:dyDescent="0.15">
      <c r="A53" s="1" t="s">
        <v>10</v>
      </c>
      <c r="B53" s="2">
        <v>1</v>
      </c>
      <c r="C53" s="1" t="s">
        <v>16</v>
      </c>
      <c r="D53" s="2">
        <v>18</v>
      </c>
      <c r="E53" s="2">
        <v>9</v>
      </c>
      <c r="F53" s="2">
        <v>6</v>
      </c>
      <c r="G53" s="6">
        <v>5</v>
      </c>
      <c r="H53" s="2">
        <v>40</v>
      </c>
      <c r="I53" s="2">
        <v>50</v>
      </c>
      <c r="J53" s="2">
        <v>10</v>
      </c>
      <c r="K53" s="2">
        <v>20</v>
      </c>
      <c r="L53" s="2">
        <v>2</v>
      </c>
      <c r="M53" s="2">
        <v>0</v>
      </c>
      <c r="N53" s="1"/>
      <c r="O53" s="1"/>
      <c r="P53" s="1"/>
      <c r="Q53" s="1"/>
      <c r="R53" s="7">
        <f t="shared" si="0"/>
        <v>50</v>
      </c>
      <c r="S53" s="15">
        <f>(AVERAGE(H53:L53))/G53</f>
        <v>4.88</v>
      </c>
      <c r="T53" s="8">
        <f t="shared" si="1"/>
        <v>2.44</v>
      </c>
    </row>
    <row r="54" spans="1:20" ht="13" x14ac:dyDescent="0.15">
      <c r="A54" s="1" t="s">
        <v>10</v>
      </c>
      <c r="B54" s="2">
        <v>2</v>
      </c>
      <c r="C54" s="1" t="s">
        <v>16</v>
      </c>
      <c r="D54" s="2">
        <v>14</v>
      </c>
      <c r="E54" s="2">
        <v>9.5</v>
      </c>
      <c r="F54" s="2">
        <v>6</v>
      </c>
      <c r="G54" s="6">
        <v>5</v>
      </c>
      <c r="H54" s="2">
        <v>40</v>
      </c>
      <c r="I54" s="2">
        <v>20</v>
      </c>
      <c r="J54" s="2">
        <v>30</v>
      </c>
      <c r="K54" s="2">
        <v>5</v>
      </c>
      <c r="L54" s="2">
        <v>1</v>
      </c>
      <c r="M54" s="2">
        <v>0</v>
      </c>
      <c r="N54" s="1"/>
      <c r="O54" s="1"/>
      <c r="P54" s="1"/>
      <c r="Q54" s="1"/>
      <c r="R54" s="7">
        <f t="shared" si="0"/>
        <v>67.857142857142861</v>
      </c>
      <c r="S54" s="15">
        <f>(AVERAGE(H54:L54))/G54</f>
        <v>3.84</v>
      </c>
      <c r="T54" s="8">
        <f t="shared" si="1"/>
        <v>2.6057142857142854</v>
      </c>
    </row>
    <row r="55" spans="1:20" ht="13" x14ac:dyDescent="0.15">
      <c r="A55" s="1" t="s">
        <v>10</v>
      </c>
      <c r="B55" s="2">
        <v>3</v>
      </c>
      <c r="C55" s="1" t="s">
        <v>16</v>
      </c>
      <c r="D55" s="2">
        <v>16</v>
      </c>
      <c r="E55" s="2">
        <v>9</v>
      </c>
      <c r="F55" s="2">
        <v>5</v>
      </c>
      <c r="G55" s="6">
        <v>4</v>
      </c>
      <c r="H55" s="2">
        <v>10</v>
      </c>
      <c r="I55" s="2">
        <v>10</v>
      </c>
      <c r="J55" s="2">
        <v>5</v>
      </c>
      <c r="K55" s="2">
        <v>1</v>
      </c>
      <c r="L55" s="2">
        <v>0</v>
      </c>
      <c r="M55" s="1"/>
      <c r="N55" s="1"/>
      <c r="O55" s="1"/>
      <c r="P55" s="1"/>
      <c r="Q55" s="1"/>
      <c r="R55" s="7">
        <f t="shared" si="0"/>
        <v>56.25</v>
      </c>
      <c r="S55" s="15">
        <f>(AVERAGE(H55:K55))/G55</f>
        <v>1.625</v>
      </c>
      <c r="T55" s="8">
        <f t="shared" si="1"/>
        <v>0.9140625</v>
      </c>
    </row>
    <row r="56" spans="1:20" ht="13" x14ac:dyDescent="0.15">
      <c r="A56" s="11" t="s">
        <v>11</v>
      </c>
      <c r="B56" s="2">
        <v>1</v>
      </c>
      <c r="C56" s="1" t="s">
        <v>16</v>
      </c>
      <c r="D56" s="2">
        <v>14.5</v>
      </c>
      <c r="E56" s="2">
        <v>9.5</v>
      </c>
      <c r="F56" s="2">
        <v>5</v>
      </c>
      <c r="G56" s="6">
        <v>4</v>
      </c>
      <c r="H56" s="2">
        <v>20</v>
      </c>
      <c r="I56" s="2">
        <v>20</v>
      </c>
      <c r="J56" s="2">
        <v>15</v>
      </c>
      <c r="K56" s="2">
        <v>1</v>
      </c>
      <c r="L56" s="2">
        <v>0</v>
      </c>
      <c r="M56" s="1"/>
      <c r="N56" s="1"/>
      <c r="O56" s="1"/>
      <c r="P56" s="1"/>
      <c r="Q56" s="1"/>
      <c r="R56" s="7">
        <f t="shared" si="0"/>
        <v>65.517241379310349</v>
      </c>
      <c r="S56" s="15">
        <f>(AVERAGE(H56:K56))/G56</f>
        <v>3.5</v>
      </c>
      <c r="T56" s="8">
        <f t="shared" si="1"/>
        <v>2.2931034482758621</v>
      </c>
    </row>
    <row r="57" spans="1:20" ht="13" x14ac:dyDescent="0.15">
      <c r="A57" s="11" t="s">
        <v>11</v>
      </c>
      <c r="B57" s="2">
        <v>2</v>
      </c>
      <c r="C57" s="1" t="s">
        <v>16</v>
      </c>
      <c r="D57" s="2">
        <v>19</v>
      </c>
      <c r="E57" s="2">
        <v>10</v>
      </c>
      <c r="F57" s="2">
        <v>5</v>
      </c>
      <c r="G57" s="6">
        <v>4</v>
      </c>
      <c r="H57" s="2">
        <v>20</v>
      </c>
      <c r="I57" s="2">
        <v>20</v>
      </c>
      <c r="J57" s="2">
        <v>20</v>
      </c>
      <c r="K57" s="2">
        <v>1</v>
      </c>
      <c r="L57" s="2">
        <v>0</v>
      </c>
      <c r="M57" s="1"/>
      <c r="N57" s="1"/>
      <c r="O57" s="1"/>
      <c r="P57" s="1"/>
      <c r="Q57" s="1"/>
      <c r="R57" s="7">
        <f t="shared" si="0"/>
        <v>52.631578947368418</v>
      </c>
      <c r="S57" s="15">
        <f>(AVERAGE(H57:K57))/G57</f>
        <v>3.8125</v>
      </c>
      <c r="T57" s="8">
        <f t="shared" si="1"/>
        <v>2.0065789473684208</v>
      </c>
    </row>
    <row r="58" spans="1:20" ht="13" x14ac:dyDescent="0.15">
      <c r="A58" s="11" t="s">
        <v>11</v>
      </c>
      <c r="B58" s="2">
        <v>3</v>
      </c>
      <c r="C58" s="1" t="s">
        <v>16</v>
      </c>
      <c r="D58" s="2">
        <v>13.5</v>
      </c>
      <c r="E58" s="2">
        <v>10</v>
      </c>
      <c r="F58" s="2">
        <v>4</v>
      </c>
      <c r="G58" s="6">
        <v>4</v>
      </c>
      <c r="H58" s="2">
        <v>10</v>
      </c>
      <c r="I58" s="2">
        <v>30</v>
      </c>
      <c r="J58" s="2">
        <v>10</v>
      </c>
      <c r="K58" s="2">
        <v>2</v>
      </c>
      <c r="L58" s="1"/>
      <c r="M58" s="1"/>
      <c r="N58" s="1"/>
      <c r="O58" s="1"/>
      <c r="P58" s="1"/>
      <c r="Q58" s="1"/>
      <c r="R58" s="7">
        <f t="shared" si="0"/>
        <v>74.074074074074076</v>
      </c>
      <c r="S58" s="15">
        <f>(AVERAGE(H58:K58))/G58</f>
        <v>3.25</v>
      </c>
      <c r="T58" s="8">
        <f>(R58*S58)/100</f>
        <v>2.4074074074074074</v>
      </c>
    </row>
    <row r="59" spans="1:20" ht="13" x14ac:dyDescent="0.15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6"/>
      <c r="T59" s="8"/>
    </row>
    <row r="60" spans="1:20" ht="13" x14ac:dyDescent="0.15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6"/>
      <c r="T60" s="8"/>
    </row>
    <row r="61" spans="1:20" ht="13" x14ac:dyDescent="0.15">
      <c r="A61" s="1" t="s">
        <v>12</v>
      </c>
      <c r="B61" s="2">
        <v>1</v>
      </c>
      <c r="C61" s="1" t="s">
        <v>17</v>
      </c>
      <c r="D61" s="2">
        <v>14.5</v>
      </c>
      <c r="E61" s="2">
        <v>8</v>
      </c>
      <c r="F61" s="2">
        <v>5</v>
      </c>
      <c r="G61" s="6">
        <v>4</v>
      </c>
      <c r="H61" s="2">
        <v>5</v>
      </c>
      <c r="I61" s="2">
        <v>5</v>
      </c>
      <c r="J61" s="2">
        <v>5</v>
      </c>
      <c r="K61" s="2">
        <v>0</v>
      </c>
      <c r="L61" s="1"/>
      <c r="M61" s="1"/>
      <c r="N61" s="1"/>
      <c r="O61" s="1"/>
      <c r="P61" s="1"/>
      <c r="Q61" s="1"/>
      <c r="R61" s="7">
        <f t="shared" si="0"/>
        <v>55.172413793103445</v>
      </c>
      <c r="S61" s="15">
        <f>(AVERAGE(H61:K61))/G61</f>
        <v>0.9375</v>
      </c>
      <c r="T61" s="8">
        <f t="shared" ref="T61:T68" si="7">(R61*S61)/100</f>
        <v>0.51724137931034475</v>
      </c>
    </row>
    <row r="62" spans="1:20" ht="13" x14ac:dyDescent="0.15">
      <c r="A62" s="1" t="s">
        <v>12</v>
      </c>
      <c r="B62" s="2">
        <v>2</v>
      </c>
      <c r="C62" s="1" t="s">
        <v>17</v>
      </c>
      <c r="D62" s="2">
        <v>11</v>
      </c>
      <c r="E62" s="2">
        <v>8</v>
      </c>
      <c r="F62" s="2">
        <v>4</v>
      </c>
      <c r="G62" s="6">
        <v>3</v>
      </c>
      <c r="H62" s="2">
        <v>5</v>
      </c>
      <c r="I62" s="2">
        <v>5</v>
      </c>
      <c r="J62" s="2">
        <v>5</v>
      </c>
      <c r="K62" s="2">
        <v>0</v>
      </c>
      <c r="L62" s="1"/>
      <c r="M62" s="1"/>
      <c r="N62" s="1"/>
      <c r="O62" s="1"/>
      <c r="P62" s="1"/>
      <c r="Q62" s="1"/>
      <c r="R62" s="7">
        <f t="shared" si="0"/>
        <v>72.727272727272734</v>
      </c>
      <c r="S62" s="15">
        <f>(AVERAGE(H62:J62))/G62</f>
        <v>1.6666666666666667</v>
      </c>
      <c r="T62" s="8">
        <f t="shared" si="7"/>
        <v>1.2121212121212124</v>
      </c>
    </row>
    <row r="63" spans="1:20" ht="13" x14ac:dyDescent="0.15">
      <c r="A63" s="1" t="s">
        <v>12</v>
      </c>
      <c r="B63" s="2">
        <v>3</v>
      </c>
      <c r="C63" s="1" t="s">
        <v>17</v>
      </c>
      <c r="D63" s="2">
        <v>12</v>
      </c>
      <c r="E63" s="2">
        <v>7</v>
      </c>
      <c r="F63" s="2">
        <v>4</v>
      </c>
      <c r="G63" s="6">
        <v>5</v>
      </c>
      <c r="H63" s="2">
        <v>5</v>
      </c>
      <c r="I63" s="2">
        <v>1</v>
      </c>
      <c r="J63" s="2">
        <v>0</v>
      </c>
      <c r="K63" s="2">
        <v>0</v>
      </c>
      <c r="L63" s="1">
        <v>0</v>
      </c>
      <c r="M63" s="1"/>
      <c r="N63" s="1"/>
      <c r="O63" s="1"/>
      <c r="P63" s="1"/>
      <c r="Q63" s="1"/>
      <c r="R63" s="7">
        <f t="shared" si="0"/>
        <v>58.333333333333336</v>
      </c>
      <c r="S63" s="15">
        <f>(AVERAGE(H63:L63))/G63</f>
        <v>0.24</v>
      </c>
      <c r="T63" s="8">
        <f t="shared" si="7"/>
        <v>0.14000000000000001</v>
      </c>
    </row>
    <row r="64" spans="1:20" ht="13" x14ac:dyDescent="0.15">
      <c r="A64" s="1" t="s">
        <v>14</v>
      </c>
      <c r="B64" s="2">
        <v>1</v>
      </c>
      <c r="C64" s="1" t="s">
        <v>17</v>
      </c>
      <c r="D64" s="2">
        <v>18</v>
      </c>
      <c r="E64" s="2">
        <v>13.5</v>
      </c>
      <c r="F64" s="2">
        <v>5</v>
      </c>
      <c r="G64" s="6">
        <v>4</v>
      </c>
      <c r="H64" s="2">
        <v>10</v>
      </c>
      <c r="I64" s="2">
        <v>10</v>
      </c>
      <c r="J64" s="2">
        <v>10</v>
      </c>
      <c r="K64" s="2">
        <v>5</v>
      </c>
      <c r="L64" s="2">
        <v>0</v>
      </c>
      <c r="M64" s="1"/>
      <c r="N64" s="1"/>
      <c r="O64" s="1"/>
      <c r="P64" s="1"/>
      <c r="Q64" s="1"/>
      <c r="R64" s="7">
        <f t="shared" si="0"/>
        <v>75</v>
      </c>
      <c r="S64" s="15">
        <f>(AVERAGE(H64:K64))/G64</f>
        <v>2.1875</v>
      </c>
      <c r="T64" s="8">
        <f t="shared" si="7"/>
        <v>1.640625</v>
      </c>
    </row>
    <row r="65" spans="1:20" ht="13" x14ac:dyDescent="0.15">
      <c r="A65" s="1" t="s">
        <v>14</v>
      </c>
      <c r="B65" s="2">
        <v>2</v>
      </c>
      <c r="C65" s="1" t="s">
        <v>17</v>
      </c>
      <c r="D65" s="2">
        <v>25.5</v>
      </c>
      <c r="E65" s="2">
        <v>10</v>
      </c>
      <c r="F65" s="2">
        <v>5</v>
      </c>
      <c r="G65" s="6">
        <v>4</v>
      </c>
      <c r="H65" s="2">
        <v>2</v>
      </c>
      <c r="I65" s="2">
        <v>2</v>
      </c>
      <c r="J65" s="2">
        <v>2</v>
      </c>
      <c r="K65" s="2">
        <v>2</v>
      </c>
      <c r="L65" s="2">
        <v>2</v>
      </c>
      <c r="M65" s="2">
        <v>0</v>
      </c>
      <c r="N65" s="1"/>
      <c r="O65" s="1"/>
      <c r="P65" s="1"/>
      <c r="Q65" s="1"/>
      <c r="R65" s="7">
        <f t="shared" si="0"/>
        <v>39.215686274509807</v>
      </c>
      <c r="S65" s="15">
        <f t="shared" ref="S65" si="8">(AVERAGE(H65:K65))/G65</f>
        <v>0.5</v>
      </c>
      <c r="T65" s="8">
        <f t="shared" si="7"/>
        <v>0.19607843137254904</v>
      </c>
    </row>
    <row r="66" spans="1:20" ht="13" x14ac:dyDescent="0.15">
      <c r="A66" s="1" t="s">
        <v>14</v>
      </c>
      <c r="B66" s="2">
        <v>3</v>
      </c>
      <c r="C66" s="1" t="s">
        <v>17</v>
      </c>
      <c r="D66" s="2">
        <v>17</v>
      </c>
      <c r="E66" s="2">
        <v>11</v>
      </c>
      <c r="F66" s="2">
        <v>5</v>
      </c>
      <c r="G66" s="6">
        <v>3</v>
      </c>
      <c r="H66" s="2">
        <v>50</v>
      </c>
      <c r="I66" s="2">
        <v>50</v>
      </c>
      <c r="J66" s="2">
        <v>2</v>
      </c>
      <c r="K66" s="2">
        <v>0</v>
      </c>
      <c r="L66" s="1"/>
      <c r="M66" s="1"/>
      <c r="N66" s="1"/>
      <c r="O66" s="1"/>
      <c r="P66" s="1"/>
      <c r="Q66" s="1"/>
      <c r="R66" s="7">
        <f t="shared" si="0"/>
        <v>64.705882352941174</v>
      </c>
      <c r="S66" s="15">
        <f>(AVERAGE(H66:J66))/G66</f>
        <v>11.333333333333334</v>
      </c>
      <c r="T66" s="8">
        <f t="shared" si="7"/>
        <v>7.3333333333333339</v>
      </c>
    </row>
    <row r="67" spans="1:20" ht="13" x14ac:dyDescent="0.15">
      <c r="A67" s="1" t="s">
        <v>10</v>
      </c>
      <c r="B67" s="2">
        <v>1</v>
      </c>
      <c r="C67" s="1" t="s">
        <v>17</v>
      </c>
      <c r="D67" s="2">
        <v>10</v>
      </c>
      <c r="E67" s="2">
        <v>8</v>
      </c>
      <c r="F67" s="2">
        <v>5</v>
      </c>
      <c r="G67" s="6">
        <v>4</v>
      </c>
      <c r="H67" s="2">
        <v>10</v>
      </c>
      <c r="I67" s="2">
        <v>5</v>
      </c>
      <c r="J67" s="2">
        <v>5</v>
      </c>
      <c r="K67" s="2">
        <v>2</v>
      </c>
      <c r="L67" s="2">
        <v>0</v>
      </c>
      <c r="M67" s="1"/>
      <c r="N67" s="1"/>
      <c r="O67" s="1"/>
      <c r="P67" s="1"/>
      <c r="Q67" s="1"/>
      <c r="R67" s="7">
        <f t="shared" si="0"/>
        <v>80</v>
      </c>
      <c r="S67" s="15">
        <f>(AVERAGE(H67:K67))/G67</f>
        <v>1.375</v>
      </c>
      <c r="T67" s="8">
        <f t="shared" si="7"/>
        <v>1.1000000000000001</v>
      </c>
    </row>
    <row r="68" spans="1:20" ht="13" x14ac:dyDescent="0.15">
      <c r="A68" s="1" t="s">
        <v>10</v>
      </c>
      <c r="B68" s="2">
        <v>2</v>
      </c>
      <c r="C68" s="1" t="s">
        <v>17</v>
      </c>
      <c r="D68" s="2">
        <v>14</v>
      </c>
      <c r="E68" s="2">
        <v>9</v>
      </c>
      <c r="F68" s="2">
        <v>5</v>
      </c>
      <c r="G68" s="6">
        <v>4</v>
      </c>
      <c r="H68" s="2">
        <v>20</v>
      </c>
      <c r="I68" s="2">
        <v>10</v>
      </c>
      <c r="J68" s="2">
        <v>5</v>
      </c>
      <c r="K68" s="2">
        <v>5</v>
      </c>
      <c r="L68" s="2">
        <v>0</v>
      </c>
      <c r="M68" s="1"/>
      <c r="N68" s="1"/>
      <c r="O68" s="1"/>
      <c r="P68" s="1"/>
      <c r="Q68" s="1"/>
      <c r="R68" s="7">
        <f t="shared" si="0"/>
        <v>64.285714285714292</v>
      </c>
      <c r="S68" s="15">
        <f>(AVERAGE(H68:K68))/G68</f>
        <v>2.5</v>
      </c>
      <c r="T68" s="8">
        <f t="shared" si="7"/>
        <v>1.6071428571428572</v>
      </c>
    </row>
    <row r="69" spans="1:20" ht="13" x14ac:dyDescent="0.15">
      <c r="A69" s="1" t="s">
        <v>10</v>
      </c>
      <c r="B69" s="2">
        <v>3</v>
      </c>
      <c r="C69" s="1" t="s">
        <v>17</v>
      </c>
      <c r="D69" s="2">
        <v>18</v>
      </c>
      <c r="E69" s="2">
        <v>9</v>
      </c>
      <c r="F69" s="2">
        <v>6</v>
      </c>
      <c r="G69" s="6">
        <v>5</v>
      </c>
      <c r="H69" s="2">
        <v>10</v>
      </c>
      <c r="I69" s="2">
        <v>10</v>
      </c>
      <c r="J69" s="2">
        <v>20</v>
      </c>
      <c r="K69" s="2">
        <v>5</v>
      </c>
      <c r="L69" s="2">
        <v>0</v>
      </c>
      <c r="M69" s="2">
        <v>0</v>
      </c>
      <c r="N69" s="1"/>
      <c r="O69" s="1"/>
      <c r="P69" s="1"/>
      <c r="Q69" s="1"/>
      <c r="R69" s="7">
        <f t="shared" si="0"/>
        <v>50</v>
      </c>
      <c r="S69" s="15">
        <f>(AVERAGE(H69:L69))/G69</f>
        <v>1.8</v>
      </c>
      <c r="T69" s="8">
        <f>(R69*S69)/100</f>
        <v>0.9</v>
      </c>
    </row>
    <row r="70" spans="1:20" ht="13" x14ac:dyDescent="0.15">
      <c r="A70" s="11" t="s">
        <v>11</v>
      </c>
      <c r="B70" s="2">
        <v>1</v>
      </c>
      <c r="C70" s="1" t="s">
        <v>17</v>
      </c>
      <c r="D70" s="2">
        <v>15.5</v>
      </c>
      <c r="E70" s="2">
        <v>10</v>
      </c>
      <c r="F70" s="2">
        <v>4</v>
      </c>
      <c r="G70" s="6">
        <v>4</v>
      </c>
      <c r="H70" s="2">
        <v>10</v>
      </c>
      <c r="I70" s="2">
        <v>20</v>
      </c>
      <c r="J70" s="2">
        <v>5</v>
      </c>
      <c r="K70" s="2">
        <v>5</v>
      </c>
      <c r="L70" s="2">
        <v>0</v>
      </c>
      <c r="M70" s="1"/>
      <c r="N70" s="1"/>
      <c r="O70" s="1"/>
      <c r="P70" s="1"/>
      <c r="Q70" s="1"/>
      <c r="R70" s="7">
        <f>(E70/D70)*100</f>
        <v>64.516129032258064</v>
      </c>
      <c r="S70" s="15">
        <f>(AVERAGE(H70:K70))/G70</f>
        <v>2.5</v>
      </c>
      <c r="T70" s="8">
        <f t="shared" ref="T70:T85" si="9">(R70*S70)/100</f>
        <v>1.6129032258064515</v>
      </c>
    </row>
    <row r="71" spans="1:20" ht="13" x14ac:dyDescent="0.15">
      <c r="A71" s="11" t="s">
        <v>11</v>
      </c>
      <c r="B71" s="2">
        <v>2</v>
      </c>
      <c r="C71" s="1" t="s">
        <v>17</v>
      </c>
      <c r="D71" s="2">
        <v>11</v>
      </c>
      <c r="E71" s="2">
        <v>7</v>
      </c>
      <c r="F71" s="2">
        <v>4</v>
      </c>
      <c r="G71" s="6">
        <v>3</v>
      </c>
      <c r="H71" s="2">
        <v>5</v>
      </c>
      <c r="I71" s="2">
        <v>5</v>
      </c>
      <c r="J71" s="2">
        <v>1</v>
      </c>
      <c r="K71" s="2">
        <v>0</v>
      </c>
      <c r="L71" s="1"/>
      <c r="M71" s="1"/>
      <c r="N71" s="1"/>
      <c r="O71" s="1"/>
      <c r="P71" s="1"/>
      <c r="Q71" s="1"/>
      <c r="R71" s="7">
        <f t="shared" si="0"/>
        <v>63.636363636363633</v>
      </c>
      <c r="S71" s="15">
        <f>(AVERAGE(H71:J71))/G71</f>
        <v>1.2222222222222221</v>
      </c>
      <c r="T71" s="8">
        <f t="shared" si="9"/>
        <v>0.77777777777777768</v>
      </c>
    </row>
    <row r="72" spans="1:20" ht="13" x14ac:dyDescent="0.15">
      <c r="A72" s="11" t="s">
        <v>11</v>
      </c>
      <c r="B72" s="2">
        <v>3</v>
      </c>
      <c r="C72" s="1" t="s">
        <v>17</v>
      </c>
      <c r="D72" s="2">
        <v>16.5</v>
      </c>
      <c r="E72" s="2">
        <v>10</v>
      </c>
      <c r="F72" s="2">
        <v>4</v>
      </c>
      <c r="G72" s="6">
        <v>3</v>
      </c>
      <c r="H72" s="2">
        <v>10</v>
      </c>
      <c r="I72" s="2">
        <v>5</v>
      </c>
      <c r="J72" s="2">
        <v>2</v>
      </c>
      <c r="K72" s="2">
        <v>0</v>
      </c>
      <c r="L72" s="1"/>
      <c r="M72" s="1"/>
      <c r="N72" s="1"/>
      <c r="O72" s="1"/>
      <c r="P72" s="1"/>
      <c r="Q72" s="1"/>
      <c r="R72" s="7">
        <f t="shared" ref="R72:R79" si="10">(E72/D72)*100</f>
        <v>60.606060606060609</v>
      </c>
      <c r="S72" s="15">
        <f>(AVERAGE(H72:J72))/G72</f>
        <v>1.8888888888888891</v>
      </c>
      <c r="T72" s="8">
        <f t="shared" si="9"/>
        <v>1.1447811447811449</v>
      </c>
    </row>
    <row r="73" spans="1:20" ht="13" x14ac:dyDescent="0.15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6"/>
      <c r="T73" s="8"/>
    </row>
    <row r="74" spans="1:20" ht="13" x14ac:dyDescent="0.15">
      <c r="A74" s="1" t="s">
        <v>12</v>
      </c>
      <c r="B74" s="2">
        <v>1</v>
      </c>
      <c r="C74" s="1" t="s">
        <v>18</v>
      </c>
      <c r="D74" s="2">
        <v>18.5</v>
      </c>
      <c r="E74" s="2">
        <v>12</v>
      </c>
      <c r="F74" s="2">
        <v>5</v>
      </c>
      <c r="G74" s="6">
        <v>4</v>
      </c>
      <c r="H74" s="2">
        <v>10</v>
      </c>
      <c r="I74" s="2">
        <v>10</v>
      </c>
      <c r="J74" s="2">
        <v>5</v>
      </c>
      <c r="K74" s="2">
        <v>1</v>
      </c>
      <c r="L74" s="2">
        <v>0</v>
      </c>
      <c r="M74" s="1"/>
      <c r="N74" s="1"/>
      <c r="O74" s="1"/>
      <c r="P74" s="1"/>
      <c r="Q74" s="1"/>
      <c r="R74" s="7">
        <f t="shared" si="10"/>
        <v>64.86486486486487</v>
      </c>
      <c r="S74" s="15">
        <f t="shared" ref="S74" si="11">(AVERAGE(H74:K74))/G74</f>
        <v>1.625</v>
      </c>
      <c r="T74" s="8">
        <f t="shared" si="9"/>
        <v>1.0540540540540542</v>
      </c>
    </row>
    <row r="75" spans="1:20" ht="13" x14ac:dyDescent="0.15">
      <c r="A75" s="1" t="s">
        <v>12</v>
      </c>
      <c r="B75" s="2">
        <v>2</v>
      </c>
      <c r="C75" s="1" t="s">
        <v>18</v>
      </c>
      <c r="D75" s="2">
        <v>18</v>
      </c>
      <c r="E75" s="2">
        <v>8.5</v>
      </c>
      <c r="F75" s="2">
        <v>5</v>
      </c>
      <c r="G75" s="6">
        <v>0</v>
      </c>
      <c r="H75" s="2">
        <v>0</v>
      </c>
      <c r="I75" s="2">
        <v>0</v>
      </c>
      <c r="J75" s="2">
        <v>0</v>
      </c>
      <c r="K75" s="2">
        <v>0</v>
      </c>
      <c r="L75" s="1"/>
      <c r="M75" s="1"/>
      <c r="N75" s="1"/>
      <c r="O75" s="1"/>
      <c r="P75" s="1"/>
      <c r="Q75" s="1"/>
      <c r="R75" s="7">
        <f t="shared" si="10"/>
        <v>47.222222222222221</v>
      </c>
      <c r="S75" s="15">
        <v>0</v>
      </c>
      <c r="T75" s="8">
        <f t="shared" si="9"/>
        <v>0</v>
      </c>
    </row>
    <row r="76" spans="1:20" ht="13" x14ac:dyDescent="0.15">
      <c r="A76" s="1" t="s">
        <v>12</v>
      </c>
      <c r="B76" s="2">
        <v>3</v>
      </c>
      <c r="C76" s="1" t="s">
        <v>18</v>
      </c>
      <c r="D76" s="2">
        <v>21.5</v>
      </c>
      <c r="E76" s="2">
        <v>10.5</v>
      </c>
      <c r="F76" s="2">
        <v>5</v>
      </c>
      <c r="G76" s="6">
        <v>0</v>
      </c>
      <c r="H76" s="2">
        <v>0</v>
      </c>
      <c r="I76" s="2">
        <v>0</v>
      </c>
      <c r="J76" s="2">
        <v>0</v>
      </c>
      <c r="K76" s="2">
        <v>0</v>
      </c>
      <c r="L76" s="1"/>
      <c r="M76" s="1"/>
      <c r="N76" s="1"/>
      <c r="O76" s="1"/>
      <c r="P76" s="1"/>
      <c r="Q76" s="1"/>
      <c r="R76" s="7">
        <f t="shared" si="10"/>
        <v>48.837209302325576</v>
      </c>
      <c r="S76" s="15">
        <v>0</v>
      </c>
      <c r="T76" s="8">
        <f t="shared" si="9"/>
        <v>0</v>
      </c>
    </row>
    <row r="77" spans="1:20" ht="13" x14ac:dyDescent="0.15">
      <c r="A77" s="1" t="s">
        <v>14</v>
      </c>
      <c r="B77" s="2">
        <v>1</v>
      </c>
      <c r="C77" s="1" t="s">
        <v>18</v>
      </c>
      <c r="D77" s="2">
        <v>19</v>
      </c>
      <c r="E77" s="2">
        <v>11.5</v>
      </c>
      <c r="F77" s="2">
        <v>5</v>
      </c>
      <c r="G77" s="6">
        <v>0</v>
      </c>
      <c r="H77" s="2">
        <v>0</v>
      </c>
      <c r="I77" s="2">
        <v>0</v>
      </c>
      <c r="J77" s="2">
        <v>0</v>
      </c>
      <c r="K77" s="2">
        <v>0</v>
      </c>
      <c r="L77" s="1"/>
      <c r="M77" s="1"/>
      <c r="N77" s="1"/>
      <c r="O77" s="1"/>
      <c r="P77" s="1"/>
      <c r="Q77" s="1"/>
      <c r="R77" s="7">
        <f t="shared" si="10"/>
        <v>60.526315789473685</v>
      </c>
      <c r="S77" s="15">
        <v>0</v>
      </c>
      <c r="T77" s="8">
        <f t="shared" si="9"/>
        <v>0</v>
      </c>
    </row>
    <row r="78" spans="1:20" ht="13" x14ac:dyDescent="0.15">
      <c r="A78" s="1" t="s">
        <v>14</v>
      </c>
      <c r="B78" s="2">
        <v>2</v>
      </c>
      <c r="C78" s="1" t="s">
        <v>18</v>
      </c>
      <c r="D78" s="2">
        <v>25</v>
      </c>
      <c r="E78" s="2">
        <v>12</v>
      </c>
      <c r="F78" s="2">
        <v>5</v>
      </c>
      <c r="G78" s="6">
        <v>3</v>
      </c>
      <c r="H78" s="2">
        <v>2</v>
      </c>
      <c r="I78" s="2">
        <v>2</v>
      </c>
      <c r="J78" s="2">
        <v>0</v>
      </c>
      <c r="K78" s="2">
        <v>0</v>
      </c>
      <c r="L78" s="1"/>
      <c r="M78" s="1"/>
      <c r="N78" s="1"/>
      <c r="O78" s="1"/>
      <c r="P78" s="1"/>
      <c r="Q78" s="1"/>
      <c r="R78" s="7">
        <f t="shared" si="10"/>
        <v>48</v>
      </c>
      <c r="S78" s="15">
        <f>(AVERAGE(H78:J78))/G78</f>
        <v>0.44444444444444442</v>
      </c>
      <c r="T78" s="8">
        <f t="shared" si="9"/>
        <v>0.21333333333333332</v>
      </c>
    </row>
    <row r="79" spans="1:20" ht="13" x14ac:dyDescent="0.15">
      <c r="A79" s="1" t="s">
        <v>14</v>
      </c>
      <c r="B79" s="2">
        <v>3</v>
      </c>
      <c r="C79" s="1" t="s">
        <v>18</v>
      </c>
      <c r="D79" s="2">
        <v>22.5</v>
      </c>
      <c r="E79" s="2">
        <v>13</v>
      </c>
      <c r="F79" s="2">
        <v>5</v>
      </c>
      <c r="G79" s="6">
        <v>5</v>
      </c>
      <c r="H79" s="2">
        <v>5</v>
      </c>
      <c r="I79" s="2">
        <v>2</v>
      </c>
      <c r="J79" s="2">
        <v>0</v>
      </c>
      <c r="K79" s="2">
        <v>0</v>
      </c>
      <c r="L79" s="1">
        <v>0</v>
      </c>
      <c r="M79" s="1"/>
      <c r="N79" s="1"/>
      <c r="O79" s="1"/>
      <c r="P79" s="1"/>
      <c r="Q79" s="1"/>
      <c r="R79" s="7">
        <f t="shared" si="10"/>
        <v>57.777777777777771</v>
      </c>
      <c r="S79" s="15">
        <f>(AVERAGE(H79:L79))/G79</f>
        <v>0.27999999999999997</v>
      </c>
      <c r="T79" s="8">
        <f t="shared" si="9"/>
        <v>0.16177777777777774</v>
      </c>
    </row>
    <row r="80" spans="1:20" ht="13" x14ac:dyDescent="0.15">
      <c r="A80" s="1" t="s">
        <v>10</v>
      </c>
      <c r="B80" s="2">
        <v>1</v>
      </c>
      <c r="C80" s="1" t="s">
        <v>18</v>
      </c>
      <c r="D80" s="2">
        <v>13</v>
      </c>
      <c r="E80" s="2">
        <v>0</v>
      </c>
      <c r="F80" s="2">
        <v>0</v>
      </c>
      <c r="G80" s="6">
        <v>0</v>
      </c>
      <c r="H80" s="2">
        <v>0</v>
      </c>
      <c r="I80" s="2">
        <v>0</v>
      </c>
      <c r="J80" s="1"/>
      <c r="K80" s="1"/>
      <c r="L80" s="1"/>
      <c r="M80" s="1"/>
      <c r="N80" s="1"/>
      <c r="O80" s="1"/>
      <c r="P80" s="1"/>
      <c r="Q80" s="1"/>
      <c r="R80" s="7">
        <f>(E80/D80)*100</f>
        <v>0</v>
      </c>
      <c r="S80" s="15">
        <v>0</v>
      </c>
      <c r="T80" s="8">
        <f t="shared" si="9"/>
        <v>0</v>
      </c>
    </row>
    <row r="81" spans="1:20" ht="13" x14ac:dyDescent="0.15">
      <c r="A81" s="1" t="s">
        <v>10</v>
      </c>
      <c r="B81" s="2">
        <v>2</v>
      </c>
      <c r="C81" s="1" t="s">
        <v>18</v>
      </c>
      <c r="D81" s="2">
        <v>15</v>
      </c>
      <c r="E81" s="2">
        <v>9</v>
      </c>
      <c r="F81" s="2">
        <v>4</v>
      </c>
      <c r="G81" s="6">
        <v>5</v>
      </c>
      <c r="H81" s="2">
        <v>5</v>
      </c>
      <c r="I81" s="2">
        <v>5</v>
      </c>
      <c r="J81" s="2">
        <v>0</v>
      </c>
      <c r="K81" s="2">
        <v>0</v>
      </c>
      <c r="L81" s="1">
        <v>0</v>
      </c>
      <c r="M81" s="1"/>
      <c r="N81" s="1"/>
      <c r="O81" s="1"/>
      <c r="P81" s="1"/>
      <c r="Q81" s="1"/>
      <c r="R81" s="7">
        <f t="shared" ref="R81:R85" si="12">(E81/D81)*100</f>
        <v>60</v>
      </c>
      <c r="S81" s="15">
        <f>(AVERAGE(H81:L81))/G81</f>
        <v>0.4</v>
      </c>
      <c r="T81" s="8">
        <f t="shared" si="9"/>
        <v>0.24</v>
      </c>
    </row>
    <row r="82" spans="1:20" ht="13" x14ac:dyDescent="0.15">
      <c r="A82" s="1" t="s">
        <v>10</v>
      </c>
      <c r="B82" s="2">
        <v>3</v>
      </c>
      <c r="C82" s="1" t="s">
        <v>18</v>
      </c>
      <c r="D82" s="2">
        <v>16</v>
      </c>
      <c r="E82" s="2">
        <v>0</v>
      </c>
      <c r="F82" s="2">
        <v>0</v>
      </c>
      <c r="G82" s="6">
        <v>0</v>
      </c>
      <c r="H82" s="2">
        <v>0</v>
      </c>
      <c r="I82" s="2">
        <v>0</v>
      </c>
      <c r="J82" s="2">
        <v>0</v>
      </c>
      <c r="K82" s="1"/>
      <c r="L82" s="1"/>
      <c r="M82" s="1"/>
      <c r="N82" s="1"/>
      <c r="O82" s="1"/>
      <c r="P82" s="1"/>
      <c r="Q82" s="1"/>
      <c r="R82" s="7">
        <f t="shared" si="12"/>
        <v>0</v>
      </c>
      <c r="S82" s="15">
        <v>0</v>
      </c>
      <c r="T82" s="8">
        <f t="shared" si="9"/>
        <v>0</v>
      </c>
    </row>
    <row r="83" spans="1:20" ht="13" x14ac:dyDescent="0.15">
      <c r="A83" s="11" t="s">
        <v>11</v>
      </c>
      <c r="B83" s="2">
        <v>1</v>
      </c>
      <c r="C83" s="1" t="s">
        <v>18</v>
      </c>
      <c r="D83" s="2">
        <v>16</v>
      </c>
      <c r="E83" s="2">
        <v>7.5</v>
      </c>
      <c r="F83" s="2">
        <v>0</v>
      </c>
      <c r="G83" s="6">
        <v>0</v>
      </c>
      <c r="H83" s="2">
        <v>0</v>
      </c>
      <c r="I83" s="2">
        <v>0</v>
      </c>
      <c r="J83" s="1"/>
      <c r="K83" s="1"/>
      <c r="L83" s="1"/>
      <c r="M83" s="1"/>
      <c r="N83" s="1"/>
      <c r="O83" s="1"/>
      <c r="P83" s="1"/>
      <c r="Q83" s="1"/>
      <c r="R83" s="7">
        <f t="shared" si="12"/>
        <v>46.875</v>
      </c>
      <c r="S83" s="15">
        <v>0</v>
      </c>
      <c r="T83" s="8">
        <f t="shared" si="9"/>
        <v>0</v>
      </c>
    </row>
    <row r="84" spans="1:20" ht="13" x14ac:dyDescent="0.15">
      <c r="A84" s="11" t="s">
        <v>11</v>
      </c>
      <c r="B84" s="2">
        <v>2</v>
      </c>
      <c r="C84" s="1" t="s">
        <v>18</v>
      </c>
      <c r="D84" s="2">
        <v>16.5</v>
      </c>
      <c r="E84" s="2">
        <v>6.5</v>
      </c>
      <c r="F84" s="2">
        <v>5</v>
      </c>
      <c r="G84" s="6">
        <v>2</v>
      </c>
      <c r="H84" s="2">
        <v>5</v>
      </c>
      <c r="I84" s="2">
        <v>5</v>
      </c>
      <c r="J84" s="2">
        <v>0</v>
      </c>
      <c r="K84" s="2">
        <v>0</v>
      </c>
      <c r="L84" s="2">
        <v>0</v>
      </c>
      <c r="M84" s="1"/>
      <c r="N84" s="1"/>
      <c r="O84" s="1"/>
      <c r="P84" s="1"/>
      <c r="Q84" s="1"/>
      <c r="R84" s="7">
        <f t="shared" si="12"/>
        <v>39.393939393939391</v>
      </c>
      <c r="S84" s="15">
        <f>(AVERAGE(H84:I84))/G84</f>
        <v>2.5</v>
      </c>
      <c r="T84" s="8">
        <f t="shared" si="9"/>
        <v>0.98484848484848475</v>
      </c>
    </row>
    <row r="85" spans="1:20" ht="13" x14ac:dyDescent="0.15">
      <c r="A85" s="11" t="s">
        <v>11</v>
      </c>
      <c r="B85" s="2">
        <v>3</v>
      </c>
      <c r="C85" s="1" t="s">
        <v>18</v>
      </c>
      <c r="D85" s="2">
        <v>23</v>
      </c>
      <c r="E85" s="2">
        <v>7</v>
      </c>
      <c r="F85" s="2">
        <v>5</v>
      </c>
      <c r="G85" s="6">
        <v>2</v>
      </c>
      <c r="H85" s="2">
        <v>5</v>
      </c>
      <c r="I85" s="2">
        <v>5</v>
      </c>
      <c r="J85" s="2">
        <v>0</v>
      </c>
      <c r="K85" s="2">
        <v>0</v>
      </c>
      <c r="L85" s="2">
        <v>0</v>
      </c>
      <c r="M85" s="1"/>
      <c r="N85" s="1"/>
      <c r="O85" s="1"/>
      <c r="P85" s="1"/>
      <c r="Q85" s="1"/>
      <c r="R85" s="7">
        <f t="shared" si="12"/>
        <v>30.434782608695656</v>
      </c>
      <c r="S85" s="15">
        <f>(AVERAGE(H85:I85))/G85</f>
        <v>2.5</v>
      </c>
      <c r="T85" s="8">
        <f t="shared" si="9"/>
        <v>0.76086956521739135</v>
      </c>
    </row>
    <row r="86" spans="1:20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20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0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</sheetData>
  <mergeCells count="1">
    <mergeCell ref="H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53"/>
  <sheetViews>
    <sheetView topLeftCell="A49" workbookViewId="0">
      <pane xSplit="1" topLeftCell="J1" activePane="topRight" state="frozen"/>
      <selection pane="topRight" activeCell="S74" sqref="S74:T8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19</v>
      </c>
      <c r="B1" s="1"/>
      <c r="C1" s="1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1"/>
      <c r="G2" s="1"/>
      <c r="H2" s="12" t="s">
        <v>34</v>
      </c>
      <c r="I2" s="12"/>
      <c r="J2" s="12"/>
      <c r="K2" s="12"/>
      <c r="L2" s="12"/>
      <c r="M2" s="12"/>
      <c r="N2" s="12"/>
      <c r="O2" s="12"/>
      <c r="P2" s="12"/>
      <c r="Q2" s="12"/>
      <c r="R2" s="2"/>
      <c r="S2" s="2"/>
      <c r="T2" s="2"/>
      <c r="U2" s="1"/>
      <c r="V2" s="1"/>
      <c r="W2" s="1"/>
      <c r="X2" s="1"/>
      <c r="Y2" s="1"/>
      <c r="Z2" s="1"/>
    </row>
    <row r="3" spans="1:26" ht="15.75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32</v>
      </c>
      <c r="G3" s="5" t="s">
        <v>33</v>
      </c>
      <c r="H3" s="2">
        <v>1</v>
      </c>
      <c r="I3" s="2">
        <v>2</v>
      </c>
      <c r="J3" s="2">
        <v>3</v>
      </c>
      <c r="K3" s="2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2" t="s">
        <v>27</v>
      </c>
      <c r="S3" s="2" t="s">
        <v>28</v>
      </c>
      <c r="T3" s="2" t="s">
        <v>31</v>
      </c>
      <c r="U3" s="1"/>
      <c r="V3" s="1"/>
      <c r="W3" s="1"/>
      <c r="X3" s="1"/>
      <c r="Y3" s="1"/>
      <c r="Z3" s="1"/>
    </row>
    <row r="4" spans="1:26" ht="15.75" customHeight="1" x14ac:dyDescent="0.15">
      <c r="A4" s="1" t="s">
        <v>7</v>
      </c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 t="s">
        <v>7</v>
      </c>
      <c r="B5" s="2">
        <v>1</v>
      </c>
      <c r="C5" s="1" t="s">
        <v>8</v>
      </c>
      <c r="D5" s="2">
        <v>14</v>
      </c>
      <c r="E5" s="2">
        <v>9.5</v>
      </c>
      <c r="F5" s="2">
        <v>5</v>
      </c>
      <c r="G5" s="6">
        <v>4</v>
      </c>
      <c r="H5" s="2">
        <v>100</v>
      </c>
      <c r="I5" s="2">
        <v>100</v>
      </c>
      <c r="J5" s="2">
        <v>100</v>
      </c>
      <c r="K5" s="2">
        <v>2</v>
      </c>
      <c r="L5" s="2">
        <v>0</v>
      </c>
      <c r="M5" s="1"/>
      <c r="N5" s="1"/>
      <c r="O5" s="1"/>
      <c r="P5" s="1"/>
      <c r="Q5" s="1"/>
      <c r="R5" s="7">
        <f>(E5/D5)*100</f>
        <v>67.857142857142861</v>
      </c>
      <c r="S5" s="15">
        <f>(AVERAGE(H5:K5))/G5</f>
        <v>18.875</v>
      </c>
      <c r="T5" s="8">
        <f>(R5*S5)/100</f>
        <v>12.808035714285715</v>
      </c>
      <c r="U5" s="1"/>
      <c r="V5" s="1"/>
      <c r="W5" s="1"/>
      <c r="X5" s="1"/>
      <c r="Y5" s="1"/>
      <c r="Z5" s="1"/>
    </row>
    <row r="6" spans="1:26" ht="15.75" customHeight="1" x14ac:dyDescent="0.15">
      <c r="A6" s="1" t="s">
        <v>7</v>
      </c>
      <c r="B6" s="2">
        <v>2</v>
      </c>
      <c r="C6" s="1" t="s">
        <v>8</v>
      </c>
      <c r="D6" s="2">
        <v>17</v>
      </c>
      <c r="E6" s="2">
        <v>13</v>
      </c>
      <c r="F6" s="2">
        <v>5</v>
      </c>
      <c r="G6" s="6">
        <v>4</v>
      </c>
      <c r="H6" s="2">
        <v>100</v>
      </c>
      <c r="I6" s="2">
        <v>100</v>
      </c>
      <c r="J6" s="2">
        <v>100</v>
      </c>
      <c r="K6" s="2">
        <v>20</v>
      </c>
      <c r="L6" s="2">
        <v>0</v>
      </c>
      <c r="M6" s="2">
        <v>0</v>
      </c>
      <c r="N6" s="2">
        <v>0</v>
      </c>
      <c r="O6" s="1"/>
      <c r="P6" s="1"/>
      <c r="Q6" s="1"/>
      <c r="R6" s="7">
        <f t="shared" ref="R6:R71" si="0">(E6/D6)*100</f>
        <v>76.470588235294116</v>
      </c>
      <c r="S6" s="15">
        <f>(AVERAGE(H6:K6))/G6</f>
        <v>20</v>
      </c>
      <c r="T6" s="8">
        <f t="shared" ref="T6:T69" si="1">(R6*S6)/100</f>
        <v>15.294117647058824</v>
      </c>
      <c r="U6" s="1"/>
      <c r="V6" s="1"/>
      <c r="W6" s="1"/>
      <c r="X6" s="1"/>
      <c r="Y6" s="1"/>
      <c r="Z6" s="1"/>
    </row>
    <row r="7" spans="1:26" ht="15.75" customHeight="1" x14ac:dyDescent="0.15">
      <c r="A7" s="1" t="s">
        <v>7</v>
      </c>
      <c r="B7" s="2">
        <v>3</v>
      </c>
      <c r="C7" s="1" t="s">
        <v>8</v>
      </c>
      <c r="D7" s="2">
        <v>17</v>
      </c>
      <c r="E7" s="2">
        <v>11</v>
      </c>
      <c r="F7" s="2">
        <v>6</v>
      </c>
      <c r="G7" s="6">
        <v>5</v>
      </c>
      <c r="H7" s="2">
        <v>100</v>
      </c>
      <c r="I7" s="2">
        <v>100</v>
      </c>
      <c r="J7" s="2">
        <v>100</v>
      </c>
      <c r="K7" s="2">
        <v>100</v>
      </c>
      <c r="L7" s="2">
        <v>5</v>
      </c>
      <c r="M7" s="2">
        <v>0</v>
      </c>
      <c r="N7" s="2">
        <v>0</v>
      </c>
      <c r="O7" s="1"/>
      <c r="P7" s="1"/>
      <c r="Q7" s="1"/>
      <c r="R7" s="7">
        <f t="shared" si="0"/>
        <v>64.705882352941174</v>
      </c>
      <c r="S7" s="15">
        <f>(AVERAGE(H7:L7))/G7</f>
        <v>16.2</v>
      </c>
      <c r="T7" s="8">
        <f t="shared" si="1"/>
        <v>10.482352941176471</v>
      </c>
      <c r="U7" s="1"/>
      <c r="V7" s="1"/>
      <c r="W7" s="1"/>
      <c r="X7" s="1"/>
      <c r="Y7" s="1"/>
      <c r="Z7" s="1"/>
    </row>
    <row r="8" spans="1:26" ht="15.75" customHeight="1" x14ac:dyDescent="0.15">
      <c r="A8" s="1" t="s">
        <v>9</v>
      </c>
      <c r="B8" s="2">
        <v>1</v>
      </c>
      <c r="C8" s="1" t="s">
        <v>8</v>
      </c>
      <c r="D8" s="2">
        <v>26</v>
      </c>
      <c r="E8" s="2">
        <v>14</v>
      </c>
      <c r="F8" s="2">
        <v>6</v>
      </c>
      <c r="G8" s="6">
        <v>5</v>
      </c>
      <c r="H8" s="2">
        <v>100</v>
      </c>
      <c r="I8" s="2">
        <v>100</v>
      </c>
      <c r="J8" s="2">
        <v>100</v>
      </c>
      <c r="K8" s="2">
        <v>80</v>
      </c>
      <c r="L8" s="2">
        <v>5</v>
      </c>
      <c r="M8" s="2">
        <v>0</v>
      </c>
      <c r="N8" s="1"/>
      <c r="O8" s="1"/>
      <c r="P8" s="1"/>
      <c r="Q8" s="1"/>
      <c r="R8" s="7">
        <f t="shared" si="0"/>
        <v>53.846153846153847</v>
      </c>
      <c r="S8" s="15">
        <f>(AVERAGE(H8:L8))/G8</f>
        <v>15.4</v>
      </c>
      <c r="T8" s="8">
        <f t="shared" si="1"/>
        <v>8.292307692307693</v>
      </c>
      <c r="U8" s="1"/>
      <c r="V8" s="1"/>
      <c r="W8" s="1"/>
      <c r="X8" s="1"/>
      <c r="Y8" s="1"/>
      <c r="Z8" s="1"/>
    </row>
    <row r="9" spans="1:26" ht="15.75" customHeight="1" x14ac:dyDescent="0.15">
      <c r="A9" s="1" t="s">
        <v>9</v>
      </c>
      <c r="B9" s="2">
        <v>2</v>
      </c>
      <c r="C9" s="1" t="s">
        <v>8</v>
      </c>
      <c r="D9" s="2">
        <v>29.5</v>
      </c>
      <c r="E9" s="2">
        <v>17.5</v>
      </c>
      <c r="F9" s="2">
        <v>7</v>
      </c>
      <c r="G9" s="6">
        <v>6</v>
      </c>
      <c r="H9" s="2">
        <v>100</v>
      </c>
      <c r="I9" s="2">
        <v>100</v>
      </c>
      <c r="J9" s="2">
        <v>100</v>
      </c>
      <c r="K9" s="2">
        <v>100</v>
      </c>
      <c r="L9" s="2">
        <v>2</v>
      </c>
      <c r="M9" s="2">
        <v>0</v>
      </c>
      <c r="N9" s="2">
        <v>0</v>
      </c>
      <c r="O9" s="1"/>
      <c r="P9" s="1"/>
      <c r="Q9" s="1"/>
      <c r="R9" s="7">
        <f t="shared" si="0"/>
        <v>59.322033898305079</v>
      </c>
      <c r="S9" s="15">
        <f>(AVERAGE(H9:M9))/G9</f>
        <v>11.166666666666666</v>
      </c>
      <c r="T9" s="8">
        <f t="shared" si="1"/>
        <v>6.6242937853107335</v>
      </c>
      <c r="U9" s="1"/>
      <c r="V9" s="1"/>
      <c r="W9" s="1"/>
      <c r="X9" s="1"/>
      <c r="Y9" s="1"/>
      <c r="Z9" s="1"/>
    </row>
    <row r="10" spans="1:26" ht="15.75" customHeight="1" x14ac:dyDescent="0.15">
      <c r="A10" s="1" t="s">
        <v>9</v>
      </c>
      <c r="B10" s="2">
        <v>3</v>
      </c>
      <c r="C10" s="1" t="s">
        <v>8</v>
      </c>
      <c r="D10" s="2">
        <v>26</v>
      </c>
      <c r="E10" s="2">
        <v>16</v>
      </c>
      <c r="F10" s="2">
        <v>7</v>
      </c>
      <c r="G10" s="6">
        <v>100</v>
      </c>
      <c r="H10" s="2">
        <v>100</v>
      </c>
      <c r="I10" s="2">
        <v>100</v>
      </c>
      <c r="J10" s="2">
        <v>60</v>
      </c>
      <c r="K10" s="2">
        <v>5</v>
      </c>
      <c r="L10" s="2">
        <v>2</v>
      </c>
      <c r="M10" s="2">
        <v>0</v>
      </c>
      <c r="N10" s="2">
        <v>0</v>
      </c>
      <c r="O10" s="1"/>
      <c r="P10" s="1"/>
      <c r="Q10" s="1"/>
      <c r="R10" s="7">
        <f t="shared" si="0"/>
        <v>61.53846153846154</v>
      </c>
      <c r="S10" s="15">
        <f>(AVERAGE(H10:L10))/G10</f>
        <v>0.53400000000000003</v>
      </c>
      <c r="T10" s="8">
        <f t="shared" si="1"/>
        <v>0.32861538461538464</v>
      </c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  <c r="S11" s="15"/>
      <c r="T11" s="8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7"/>
      <c r="S12" s="15"/>
      <c r="T12" s="8"/>
      <c r="U12" s="1"/>
      <c r="V12" s="1"/>
      <c r="W12" s="1"/>
      <c r="X12" s="1"/>
      <c r="Y12" s="1"/>
      <c r="Z12" s="1"/>
    </row>
    <row r="13" spans="1:26" ht="15.75" customHeight="1" x14ac:dyDescent="0.15">
      <c r="A13" s="1" t="s">
        <v>10</v>
      </c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7"/>
      <c r="S13" s="15"/>
      <c r="T13" s="8"/>
      <c r="U13" s="1"/>
      <c r="V13" s="1"/>
      <c r="W13" s="1"/>
      <c r="X13" s="1"/>
      <c r="Y13" s="1"/>
      <c r="Z13" s="1"/>
    </row>
    <row r="14" spans="1:26" ht="15.75" customHeight="1" x14ac:dyDescent="0.15">
      <c r="A14" s="1" t="s">
        <v>10</v>
      </c>
      <c r="B14" s="2">
        <v>1</v>
      </c>
      <c r="C14" s="1" t="s">
        <v>8</v>
      </c>
      <c r="D14" s="2">
        <v>14</v>
      </c>
      <c r="E14" s="2">
        <v>8</v>
      </c>
      <c r="F14" s="2">
        <v>7</v>
      </c>
      <c r="G14" s="6">
        <v>6</v>
      </c>
      <c r="H14" s="2">
        <v>100</v>
      </c>
      <c r="I14" s="2">
        <v>100</v>
      </c>
      <c r="J14" s="2">
        <v>60</v>
      </c>
      <c r="K14" s="2">
        <v>5</v>
      </c>
      <c r="L14" s="2">
        <v>0</v>
      </c>
      <c r="M14" s="2">
        <v>0</v>
      </c>
      <c r="N14" s="2">
        <v>0</v>
      </c>
      <c r="O14" s="1"/>
      <c r="P14" s="1"/>
      <c r="Q14" s="1"/>
      <c r="R14" s="7">
        <f t="shared" si="0"/>
        <v>57.142857142857139</v>
      </c>
      <c r="S14" s="15">
        <f>(AVERAGE(H14:M14))/G14</f>
        <v>7.3611111111111107</v>
      </c>
      <c r="T14" s="8">
        <f t="shared" si="1"/>
        <v>4.2063492063492056</v>
      </c>
      <c r="U14" s="1"/>
      <c r="V14" s="1"/>
      <c r="W14" s="1"/>
      <c r="X14" s="1"/>
      <c r="Y14" s="1"/>
      <c r="Z14" s="1"/>
    </row>
    <row r="15" spans="1:26" ht="15.75" customHeight="1" x14ac:dyDescent="0.15">
      <c r="A15" s="1" t="s">
        <v>10</v>
      </c>
      <c r="B15" s="2">
        <v>2</v>
      </c>
      <c r="C15" s="1" t="s">
        <v>8</v>
      </c>
      <c r="D15" s="2">
        <v>14</v>
      </c>
      <c r="E15" s="2">
        <v>10.5</v>
      </c>
      <c r="F15" s="2">
        <v>6</v>
      </c>
      <c r="G15" s="6">
        <v>5</v>
      </c>
      <c r="H15" s="2">
        <v>100</v>
      </c>
      <c r="I15" s="2">
        <v>100</v>
      </c>
      <c r="J15" s="2">
        <v>40</v>
      </c>
      <c r="K15" s="2">
        <v>15</v>
      </c>
      <c r="L15" s="2">
        <v>5</v>
      </c>
      <c r="M15" s="2">
        <v>2</v>
      </c>
      <c r="N15" s="2">
        <v>0</v>
      </c>
      <c r="O15" s="2">
        <v>0</v>
      </c>
      <c r="P15" s="1"/>
      <c r="Q15" s="1"/>
      <c r="R15" s="7">
        <f t="shared" si="0"/>
        <v>75</v>
      </c>
      <c r="S15" s="15">
        <f>(AVERAGE(H15:L15))/G15</f>
        <v>10.4</v>
      </c>
      <c r="T15" s="8">
        <f t="shared" si="1"/>
        <v>7.8</v>
      </c>
      <c r="U15" s="1"/>
      <c r="V15" s="1"/>
      <c r="W15" s="1"/>
      <c r="X15" s="1"/>
      <c r="Y15" s="1"/>
      <c r="Z15" s="1"/>
    </row>
    <row r="16" spans="1:26" ht="15.75" customHeight="1" x14ac:dyDescent="0.15">
      <c r="A16" s="1" t="s">
        <v>10</v>
      </c>
      <c r="B16" s="2">
        <v>3</v>
      </c>
      <c r="C16" s="1" t="s">
        <v>8</v>
      </c>
      <c r="D16" s="2">
        <v>18</v>
      </c>
      <c r="E16" s="2">
        <v>11</v>
      </c>
      <c r="F16" s="2">
        <v>7</v>
      </c>
      <c r="G16" s="6">
        <v>6</v>
      </c>
      <c r="H16" s="2">
        <v>100</v>
      </c>
      <c r="I16" s="2">
        <v>100</v>
      </c>
      <c r="J16" s="2">
        <v>100</v>
      </c>
      <c r="K16" s="2">
        <v>100</v>
      </c>
      <c r="L16" s="2">
        <v>40</v>
      </c>
      <c r="M16" s="2">
        <v>5</v>
      </c>
      <c r="N16" s="2">
        <v>0</v>
      </c>
      <c r="O16" s="2">
        <v>0</v>
      </c>
      <c r="P16" s="1"/>
      <c r="Q16" s="1"/>
      <c r="R16" s="7">
        <f t="shared" si="0"/>
        <v>61.111111111111114</v>
      </c>
      <c r="S16" s="15">
        <f>(AVERAGE(H16:M16))/G16</f>
        <v>12.361111111111112</v>
      </c>
      <c r="T16" s="8">
        <f t="shared" si="1"/>
        <v>7.5540123456790136</v>
      </c>
      <c r="U16" s="1"/>
      <c r="V16" s="1"/>
      <c r="W16" s="1"/>
      <c r="X16" s="1"/>
      <c r="Y16" s="1"/>
      <c r="Z16" s="1"/>
    </row>
    <row r="17" spans="1:26" ht="15.75" customHeight="1" x14ac:dyDescent="0.15">
      <c r="A17" s="11" t="s">
        <v>11</v>
      </c>
      <c r="B17" s="2">
        <v>1</v>
      </c>
      <c r="C17" s="1" t="s">
        <v>8</v>
      </c>
      <c r="D17" s="2">
        <v>21</v>
      </c>
      <c r="E17" s="2">
        <v>14</v>
      </c>
      <c r="F17" s="2">
        <v>6</v>
      </c>
      <c r="G17" s="6">
        <v>5</v>
      </c>
      <c r="H17" s="2">
        <v>100</v>
      </c>
      <c r="I17" s="2">
        <v>100</v>
      </c>
      <c r="J17" s="2">
        <v>60</v>
      </c>
      <c r="K17" s="2">
        <v>5</v>
      </c>
      <c r="L17" s="2">
        <v>1</v>
      </c>
      <c r="M17" s="2">
        <v>0</v>
      </c>
      <c r="N17" s="2">
        <v>0</v>
      </c>
      <c r="O17" s="1"/>
      <c r="P17" s="1"/>
      <c r="Q17" s="1"/>
      <c r="R17" s="7">
        <f t="shared" si="0"/>
        <v>66.666666666666657</v>
      </c>
      <c r="S17" s="15">
        <f>(AVERAGE(H17:L17))/G17</f>
        <v>10.64</v>
      </c>
      <c r="T17" s="8">
        <f t="shared" si="1"/>
        <v>7.0933333333333328</v>
      </c>
      <c r="U17" s="1"/>
      <c r="V17" s="1"/>
      <c r="W17" s="1"/>
      <c r="X17" s="1"/>
      <c r="Y17" s="1"/>
      <c r="Z17" s="1"/>
    </row>
    <row r="18" spans="1:26" ht="15.75" customHeight="1" x14ac:dyDescent="0.15">
      <c r="A18" s="11" t="s">
        <v>11</v>
      </c>
      <c r="B18" s="2">
        <v>2</v>
      </c>
      <c r="C18" s="1" t="s">
        <v>8</v>
      </c>
      <c r="D18" s="2">
        <v>20</v>
      </c>
      <c r="E18" s="2">
        <v>13</v>
      </c>
      <c r="F18" s="2">
        <v>6</v>
      </c>
      <c r="G18" s="6">
        <v>4</v>
      </c>
      <c r="H18" s="2">
        <v>100</v>
      </c>
      <c r="I18" s="2">
        <v>100</v>
      </c>
      <c r="J18" s="2">
        <v>60</v>
      </c>
      <c r="K18" s="2">
        <v>10</v>
      </c>
      <c r="L18" s="2">
        <v>0</v>
      </c>
      <c r="M18" s="2">
        <v>0</v>
      </c>
      <c r="N18" s="1"/>
      <c r="O18" s="1"/>
      <c r="P18" s="1"/>
      <c r="Q18" s="1"/>
      <c r="R18" s="7">
        <f t="shared" si="0"/>
        <v>65</v>
      </c>
      <c r="S18" s="15">
        <f>(AVERAGE(H18:K18))/G18</f>
        <v>16.875</v>
      </c>
      <c r="T18" s="8">
        <f t="shared" si="1"/>
        <v>10.96875</v>
      </c>
      <c r="U18" s="1"/>
      <c r="V18" s="1"/>
      <c r="W18" s="1"/>
      <c r="X18" s="1"/>
      <c r="Y18" s="1"/>
      <c r="Z18" s="1"/>
    </row>
    <row r="19" spans="1:26" ht="15.75" customHeight="1" x14ac:dyDescent="0.15">
      <c r="A19" s="11" t="s">
        <v>11</v>
      </c>
      <c r="B19" s="2">
        <v>3</v>
      </c>
      <c r="C19" s="1" t="s">
        <v>8</v>
      </c>
      <c r="D19" s="2">
        <v>26</v>
      </c>
      <c r="E19" s="2">
        <v>13</v>
      </c>
      <c r="F19" s="2">
        <v>6</v>
      </c>
      <c r="G19" s="6">
        <v>4</v>
      </c>
      <c r="H19" s="2">
        <v>100</v>
      </c>
      <c r="I19" s="2">
        <v>60</v>
      </c>
      <c r="J19" s="2">
        <v>5</v>
      </c>
      <c r="K19" s="2">
        <v>1</v>
      </c>
      <c r="L19" s="2">
        <v>0</v>
      </c>
      <c r="M19" s="2">
        <v>0</v>
      </c>
      <c r="N19" s="1"/>
      <c r="O19" s="1"/>
      <c r="P19" s="1"/>
      <c r="Q19" s="1"/>
      <c r="R19" s="7">
        <f t="shared" si="0"/>
        <v>50</v>
      </c>
      <c r="S19" s="15">
        <f>(AVERAGE(H19:K19))/G19</f>
        <v>10.375</v>
      </c>
      <c r="T19" s="8">
        <f t="shared" si="1"/>
        <v>5.1875</v>
      </c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6"/>
      <c r="T20" s="8"/>
      <c r="U20" s="1"/>
      <c r="V20" s="1"/>
      <c r="W20" s="1"/>
      <c r="X20" s="1"/>
      <c r="Y20" s="1"/>
      <c r="Z20" s="1"/>
    </row>
    <row r="21" spans="1:26" ht="15.75" customHeight="1" x14ac:dyDescent="0.15">
      <c r="A21" s="1" t="s">
        <v>12</v>
      </c>
      <c r="B21" s="2">
        <v>1</v>
      </c>
      <c r="C21" s="1" t="s">
        <v>13</v>
      </c>
      <c r="D21" s="2">
        <v>13</v>
      </c>
      <c r="E21" s="1"/>
      <c r="F21" s="2">
        <v>6</v>
      </c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6"/>
      <c r="T21" s="8"/>
      <c r="U21" s="1"/>
      <c r="V21" s="1"/>
      <c r="W21" s="1"/>
      <c r="X21" s="1"/>
      <c r="Y21" s="1"/>
      <c r="Z21" s="1"/>
    </row>
    <row r="22" spans="1:26" ht="15.75" customHeight="1" x14ac:dyDescent="0.15">
      <c r="A22" s="1" t="s">
        <v>12</v>
      </c>
      <c r="B22" s="2">
        <v>2</v>
      </c>
      <c r="C22" s="1" t="s">
        <v>13</v>
      </c>
      <c r="D22" s="2">
        <v>12</v>
      </c>
      <c r="E22" s="1"/>
      <c r="F22" s="2">
        <v>6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6"/>
      <c r="T22" s="8"/>
      <c r="U22" s="1"/>
      <c r="V22" s="1"/>
      <c r="W22" s="1"/>
      <c r="X22" s="1"/>
      <c r="Y22" s="1"/>
      <c r="Z22" s="1"/>
    </row>
    <row r="23" spans="1:26" ht="15.75" customHeight="1" x14ac:dyDescent="0.15">
      <c r="A23" s="1" t="s">
        <v>12</v>
      </c>
      <c r="B23" s="2">
        <v>3</v>
      </c>
      <c r="C23" s="1" t="s">
        <v>13</v>
      </c>
      <c r="D23" s="2">
        <v>17</v>
      </c>
      <c r="E23" s="1"/>
      <c r="F23" s="2">
        <v>5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6"/>
      <c r="T23" s="8"/>
      <c r="U23" s="1"/>
      <c r="V23" s="1"/>
      <c r="W23" s="1"/>
      <c r="X23" s="1"/>
      <c r="Y23" s="1"/>
      <c r="Z23" s="1"/>
    </row>
    <row r="24" spans="1:26" ht="15.75" customHeight="1" x14ac:dyDescent="0.15">
      <c r="A24" s="1" t="s">
        <v>14</v>
      </c>
      <c r="B24" s="2">
        <v>1</v>
      </c>
      <c r="C24" s="1" t="s">
        <v>13</v>
      </c>
      <c r="D24" s="2">
        <v>34</v>
      </c>
      <c r="E24" s="1"/>
      <c r="F24" s="2">
        <v>7</v>
      </c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6"/>
      <c r="T24" s="8"/>
      <c r="U24" s="1"/>
      <c r="V24" s="1"/>
      <c r="W24" s="1"/>
      <c r="X24" s="1"/>
      <c r="Y24" s="1"/>
      <c r="Z24" s="1"/>
    </row>
    <row r="25" spans="1:26" ht="15.75" customHeight="1" x14ac:dyDescent="0.15">
      <c r="A25" s="1" t="s">
        <v>14</v>
      </c>
      <c r="B25" s="2">
        <v>2</v>
      </c>
      <c r="C25" s="1" t="s">
        <v>13</v>
      </c>
      <c r="D25" s="2">
        <v>31</v>
      </c>
      <c r="E25" s="1"/>
      <c r="F25" s="2">
        <v>6</v>
      </c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6"/>
      <c r="T25" s="8"/>
      <c r="U25" s="1"/>
      <c r="V25" s="1"/>
      <c r="W25" s="1"/>
      <c r="X25" s="1"/>
      <c r="Y25" s="1"/>
      <c r="Z25" s="1"/>
    </row>
    <row r="26" spans="1:26" ht="15.75" customHeight="1" x14ac:dyDescent="0.15">
      <c r="A26" s="1" t="s">
        <v>14</v>
      </c>
      <c r="B26" s="2">
        <v>3</v>
      </c>
      <c r="C26" s="1" t="s">
        <v>13</v>
      </c>
      <c r="D26" s="2">
        <v>26.5</v>
      </c>
      <c r="E26" s="1"/>
      <c r="F26" s="2">
        <v>6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6"/>
      <c r="T26" s="8"/>
      <c r="U26" s="1"/>
      <c r="V26" s="1"/>
      <c r="W26" s="1"/>
      <c r="X26" s="1"/>
      <c r="Y26" s="1"/>
      <c r="Z26" s="1"/>
    </row>
    <row r="27" spans="1:26" ht="15.75" customHeight="1" x14ac:dyDescent="0.15">
      <c r="A27" s="1" t="s">
        <v>10</v>
      </c>
      <c r="B27" s="2">
        <v>1</v>
      </c>
      <c r="C27" s="1" t="s">
        <v>13</v>
      </c>
      <c r="D27" s="2">
        <v>28</v>
      </c>
      <c r="E27" s="1"/>
      <c r="F27" s="2">
        <v>7</v>
      </c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6"/>
      <c r="T27" s="8"/>
      <c r="U27" s="1"/>
      <c r="V27" s="1"/>
      <c r="W27" s="1"/>
      <c r="X27" s="1"/>
      <c r="Y27" s="1"/>
      <c r="Z27" s="1"/>
    </row>
    <row r="28" spans="1:26" ht="15.75" customHeight="1" x14ac:dyDescent="0.15">
      <c r="A28" s="1" t="s">
        <v>10</v>
      </c>
      <c r="B28" s="2">
        <v>2</v>
      </c>
      <c r="C28" s="1" t="s">
        <v>13</v>
      </c>
      <c r="D28" s="2">
        <v>18</v>
      </c>
      <c r="E28" s="1"/>
      <c r="F28" s="2">
        <v>5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6"/>
      <c r="T28" s="8"/>
      <c r="U28" s="1"/>
      <c r="V28" s="1"/>
      <c r="W28" s="1"/>
      <c r="X28" s="1"/>
      <c r="Y28" s="1"/>
      <c r="Z28" s="1"/>
    </row>
    <row r="29" spans="1:26" ht="15.75" customHeight="1" x14ac:dyDescent="0.15">
      <c r="A29" s="1" t="s">
        <v>10</v>
      </c>
      <c r="B29" s="2">
        <v>3</v>
      </c>
      <c r="C29" s="1" t="s">
        <v>13</v>
      </c>
      <c r="D29" s="2">
        <v>19.5</v>
      </c>
      <c r="E29" s="1"/>
      <c r="F29" s="2">
        <v>8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6"/>
      <c r="T29" s="8"/>
      <c r="U29" s="1"/>
      <c r="V29" s="1"/>
      <c r="W29" s="1"/>
      <c r="X29" s="1"/>
      <c r="Y29" s="1"/>
      <c r="Z29" s="1"/>
    </row>
    <row r="30" spans="1:26" ht="15.75" customHeight="1" x14ac:dyDescent="0.15">
      <c r="A30" s="11" t="s">
        <v>11</v>
      </c>
      <c r="B30" s="2">
        <v>1</v>
      </c>
      <c r="C30" s="1" t="s">
        <v>13</v>
      </c>
      <c r="D30" s="2">
        <v>18</v>
      </c>
      <c r="E30" s="1"/>
      <c r="F30" s="2">
        <v>5</v>
      </c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6"/>
      <c r="T30" s="8"/>
      <c r="U30" s="1"/>
      <c r="V30" s="1"/>
      <c r="W30" s="1"/>
      <c r="X30" s="1"/>
      <c r="Y30" s="1"/>
      <c r="Z30" s="1"/>
    </row>
    <row r="31" spans="1:26" ht="15.75" customHeight="1" x14ac:dyDescent="0.15">
      <c r="A31" s="11" t="s">
        <v>11</v>
      </c>
      <c r="B31" s="2">
        <v>2</v>
      </c>
      <c r="C31" s="1" t="s">
        <v>13</v>
      </c>
      <c r="D31" s="2">
        <v>20</v>
      </c>
      <c r="E31" s="1"/>
      <c r="F31" s="2">
        <v>5</v>
      </c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6"/>
      <c r="T31" s="8"/>
      <c r="U31" s="1"/>
      <c r="V31" s="1"/>
      <c r="W31" s="1"/>
      <c r="X31" s="1"/>
      <c r="Y31" s="1"/>
      <c r="Z31" s="1"/>
    </row>
    <row r="32" spans="1:26" ht="15.75" customHeight="1" x14ac:dyDescent="0.15">
      <c r="A32" s="11" t="s">
        <v>11</v>
      </c>
      <c r="B32" s="2">
        <v>3</v>
      </c>
      <c r="C32" s="1" t="s">
        <v>13</v>
      </c>
      <c r="D32" s="2">
        <v>15</v>
      </c>
      <c r="E32" s="1"/>
      <c r="F32" s="2">
        <v>5</v>
      </c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6"/>
      <c r="T32" s="8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6"/>
      <c r="T33" s="8"/>
      <c r="U33" s="1"/>
      <c r="V33" s="1"/>
      <c r="W33" s="1"/>
      <c r="X33" s="1"/>
      <c r="Y33" s="1"/>
      <c r="Z33" s="1"/>
    </row>
    <row r="34" spans="1:26" ht="15.75" customHeight="1" x14ac:dyDescent="0.15">
      <c r="A34" s="1" t="s">
        <v>12</v>
      </c>
      <c r="B34" s="2">
        <v>1</v>
      </c>
      <c r="C34" s="1" t="s">
        <v>15</v>
      </c>
      <c r="D34" s="1"/>
      <c r="E34" s="1"/>
      <c r="F34" s="1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7"/>
      <c r="S34" s="15"/>
      <c r="T34" s="8"/>
      <c r="U34" s="1"/>
      <c r="V34" s="1"/>
      <c r="W34" s="1"/>
      <c r="X34" s="1"/>
      <c r="Y34" s="1"/>
      <c r="Z34" s="1"/>
    </row>
    <row r="35" spans="1:26" ht="15.75" customHeight="1" x14ac:dyDescent="0.15">
      <c r="A35" s="1" t="s">
        <v>12</v>
      </c>
      <c r="B35" s="2">
        <v>2</v>
      </c>
      <c r="C35" s="1" t="s">
        <v>15</v>
      </c>
      <c r="D35" s="1"/>
      <c r="E35" s="1"/>
      <c r="F35" s="1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7"/>
      <c r="S35" s="15"/>
      <c r="T35" s="8"/>
      <c r="U35" s="1"/>
      <c r="V35" s="1"/>
      <c r="W35" s="1"/>
      <c r="X35" s="1"/>
      <c r="Y35" s="1"/>
      <c r="Z35" s="1"/>
    </row>
    <row r="36" spans="1:26" ht="15.75" customHeight="1" x14ac:dyDescent="0.15">
      <c r="A36" s="1" t="s">
        <v>12</v>
      </c>
      <c r="B36" s="2">
        <v>3</v>
      </c>
      <c r="C36" s="1" t="s">
        <v>15</v>
      </c>
      <c r="D36" s="1"/>
      <c r="E36" s="1"/>
      <c r="F36" s="1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7"/>
      <c r="S36" s="15"/>
      <c r="T36" s="8"/>
      <c r="U36" s="1"/>
      <c r="V36" s="1"/>
      <c r="W36" s="1"/>
      <c r="X36" s="1"/>
      <c r="Y36" s="1"/>
      <c r="Z36" s="1"/>
    </row>
    <row r="37" spans="1:26" ht="15.75" customHeight="1" x14ac:dyDescent="0.15">
      <c r="A37" s="1" t="s">
        <v>14</v>
      </c>
      <c r="B37" s="2">
        <v>1</v>
      </c>
      <c r="C37" s="1" t="s">
        <v>15</v>
      </c>
      <c r="D37" s="2">
        <v>32.5</v>
      </c>
      <c r="E37" s="2">
        <v>15</v>
      </c>
      <c r="F37" s="2">
        <v>7</v>
      </c>
      <c r="G37" s="6">
        <v>5</v>
      </c>
      <c r="H37" s="2">
        <v>100</v>
      </c>
      <c r="I37" s="2">
        <v>100</v>
      </c>
      <c r="J37" s="2">
        <v>100</v>
      </c>
      <c r="K37" s="2">
        <v>40</v>
      </c>
      <c r="L37" s="2">
        <v>5</v>
      </c>
      <c r="M37" s="2">
        <v>0</v>
      </c>
      <c r="N37" s="2">
        <v>0</v>
      </c>
      <c r="O37" s="1"/>
      <c r="P37" s="1"/>
      <c r="Q37" s="1"/>
      <c r="R37" s="7">
        <f t="shared" si="0"/>
        <v>46.153846153846153</v>
      </c>
      <c r="S37" s="15">
        <f>(AVERAGE(H37:L37))/G37</f>
        <v>13.8</v>
      </c>
      <c r="T37" s="8">
        <f t="shared" si="1"/>
        <v>6.3692307692307688</v>
      </c>
      <c r="U37" s="1"/>
      <c r="V37" s="1"/>
      <c r="W37" s="1"/>
      <c r="X37" s="1"/>
      <c r="Y37" s="1"/>
      <c r="Z37" s="1"/>
    </row>
    <row r="38" spans="1:26" ht="15.75" customHeight="1" x14ac:dyDescent="0.15">
      <c r="A38" s="1" t="s">
        <v>14</v>
      </c>
      <c r="B38" s="2">
        <v>2</v>
      </c>
      <c r="C38" s="1" t="s">
        <v>15</v>
      </c>
      <c r="D38" s="2">
        <v>24</v>
      </c>
      <c r="E38" s="2">
        <v>14</v>
      </c>
      <c r="F38" s="2">
        <v>6</v>
      </c>
      <c r="G38" s="6">
        <v>5</v>
      </c>
      <c r="H38" s="2">
        <v>100</v>
      </c>
      <c r="I38" s="2">
        <v>100</v>
      </c>
      <c r="J38" s="2">
        <v>100</v>
      </c>
      <c r="K38" s="2">
        <v>40</v>
      </c>
      <c r="L38" s="2">
        <v>2</v>
      </c>
      <c r="M38" s="2">
        <v>0</v>
      </c>
      <c r="N38" s="2">
        <v>0</v>
      </c>
      <c r="O38" s="1"/>
      <c r="P38" s="1"/>
      <c r="Q38" s="1"/>
      <c r="R38" s="7">
        <f t="shared" si="0"/>
        <v>58.333333333333336</v>
      </c>
      <c r="S38" s="15">
        <f>(AVERAGE(H38:L38))/G38</f>
        <v>13.680000000000001</v>
      </c>
      <c r="T38" s="8">
        <f t="shared" si="1"/>
        <v>7.9800000000000013</v>
      </c>
      <c r="U38" s="1"/>
      <c r="V38" s="1"/>
      <c r="W38" s="1"/>
      <c r="X38" s="1"/>
      <c r="Y38" s="1"/>
      <c r="Z38" s="1"/>
    </row>
    <row r="39" spans="1:26" ht="15.75" customHeight="1" x14ac:dyDescent="0.15">
      <c r="A39" s="1" t="s">
        <v>14</v>
      </c>
      <c r="B39" s="2">
        <v>3</v>
      </c>
      <c r="C39" s="1" t="s">
        <v>15</v>
      </c>
      <c r="D39" s="2">
        <v>17</v>
      </c>
      <c r="E39" s="2">
        <v>17</v>
      </c>
      <c r="F39" s="2">
        <v>6</v>
      </c>
      <c r="G39" s="6">
        <v>6</v>
      </c>
      <c r="H39" s="2">
        <v>100</v>
      </c>
      <c r="I39" s="2">
        <v>100</v>
      </c>
      <c r="J39" s="2">
        <v>100</v>
      </c>
      <c r="K39" s="2">
        <v>10</v>
      </c>
      <c r="L39" s="2">
        <v>5</v>
      </c>
      <c r="M39" s="2">
        <v>5</v>
      </c>
      <c r="N39" s="1"/>
      <c r="O39" s="1"/>
      <c r="P39" s="1"/>
      <c r="Q39" s="1"/>
      <c r="R39" s="7">
        <f t="shared" si="0"/>
        <v>100</v>
      </c>
      <c r="S39" s="15">
        <f>(AVERAGE(H39:M39))/G39</f>
        <v>8.8888888888888893</v>
      </c>
      <c r="T39" s="8">
        <f t="shared" si="1"/>
        <v>8.8888888888888893</v>
      </c>
      <c r="U39" s="1"/>
      <c r="V39" s="1"/>
      <c r="W39" s="1"/>
      <c r="X39" s="1"/>
      <c r="Y39" s="1"/>
      <c r="Z39" s="1"/>
    </row>
    <row r="40" spans="1:26" ht="15.75" customHeight="1" x14ac:dyDescent="0.15">
      <c r="A40" s="1" t="s">
        <v>10</v>
      </c>
      <c r="B40" s="2">
        <v>1</v>
      </c>
      <c r="C40" s="1" t="s">
        <v>15</v>
      </c>
      <c r="D40" s="2">
        <v>23</v>
      </c>
      <c r="E40" s="2">
        <v>10</v>
      </c>
      <c r="F40" s="2">
        <v>8</v>
      </c>
      <c r="G40" s="6">
        <v>5</v>
      </c>
      <c r="H40" s="2">
        <v>100</v>
      </c>
      <c r="I40" s="2">
        <v>100</v>
      </c>
      <c r="J40" s="2">
        <v>100</v>
      </c>
      <c r="K40" s="2">
        <v>20</v>
      </c>
      <c r="L40" s="2">
        <v>5</v>
      </c>
      <c r="M40" s="2">
        <v>0</v>
      </c>
      <c r="N40" s="2">
        <v>0</v>
      </c>
      <c r="O40" s="1"/>
      <c r="P40" s="1"/>
      <c r="Q40" s="1"/>
      <c r="R40" s="7">
        <f t="shared" si="0"/>
        <v>43.478260869565219</v>
      </c>
      <c r="S40" s="15">
        <f>(AVERAGE(H40:L40))/G40</f>
        <v>13</v>
      </c>
      <c r="T40" s="8">
        <f t="shared" si="1"/>
        <v>5.6521739130434785</v>
      </c>
      <c r="U40" s="1"/>
      <c r="V40" s="1"/>
      <c r="W40" s="1"/>
      <c r="X40" s="1"/>
      <c r="Y40" s="1"/>
      <c r="Z40" s="1"/>
    </row>
    <row r="41" spans="1:26" ht="15.75" customHeight="1" x14ac:dyDescent="0.15">
      <c r="A41" s="1" t="s">
        <v>10</v>
      </c>
      <c r="B41" s="2">
        <v>2</v>
      </c>
      <c r="C41" s="1" t="s">
        <v>15</v>
      </c>
      <c r="D41" s="2">
        <v>19</v>
      </c>
      <c r="E41" s="2">
        <v>11</v>
      </c>
      <c r="F41" s="2">
        <v>7</v>
      </c>
      <c r="G41" s="6">
        <v>5</v>
      </c>
      <c r="H41" s="2">
        <v>100</v>
      </c>
      <c r="I41" s="2">
        <v>100</v>
      </c>
      <c r="J41" s="2">
        <v>100</v>
      </c>
      <c r="K41" s="2">
        <v>100</v>
      </c>
      <c r="L41" s="2">
        <v>5</v>
      </c>
      <c r="M41" s="2">
        <v>0</v>
      </c>
      <c r="N41" s="2">
        <v>0</v>
      </c>
      <c r="O41" s="1"/>
      <c r="P41" s="1"/>
      <c r="Q41" s="1"/>
      <c r="R41" s="7">
        <f t="shared" si="0"/>
        <v>57.894736842105267</v>
      </c>
      <c r="S41" s="15">
        <f>(AVERAGE(H41:L41))/G41</f>
        <v>16.2</v>
      </c>
      <c r="T41" s="8">
        <f t="shared" si="1"/>
        <v>9.3789473684210538</v>
      </c>
      <c r="U41" s="1"/>
      <c r="V41" s="1"/>
      <c r="W41" s="1"/>
      <c r="X41" s="1"/>
      <c r="Y41" s="1"/>
      <c r="Z41" s="1"/>
    </row>
    <row r="42" spans="1:26" ht="15.75" customHeight="1" x14ac:dyDescent="0.15">
      <c r="A42" s="1" t="s">
        <v>10</v>
      </c>
      <c r="B42" s="2">
        <v>3</v>
      </c>
      <c r="C42" s="1" t="s">
        <v>15</v>
      </c>
      <c r="D42" s="2">
        <v>23</v>
      </c>
      <c r="E42" s="2">
        <v>11</v>
      </c>
      <c r="F42" s="2">
        <v>7</v>
      </c>
      <c r="G42" s="6">
        <v>5</v>
      </c>
      <c r="H42" s="2">
        <v>100</v>
      </c>
      <c r="I42" s="2">
        <v>100</v>
      </c>
      <c r="J42" s="2">
        <v>100</v>
      </c>
      <c r="K42" s="2">
        <v>60</v>
      </c>
      <c r="L42" s="2">
        <v>5</v>
      </c>
      <c r="M42" s="2">
        <v>0</v>
      </c>
      <c r="N42" s="1"/>
      <c r="O42" s="1"/>
      <c r="P42" s="1"/>
      <c r="Q42" s="1"/>
      <c r="R42" s="7">
        <f t="shared" si="0"/>
        <v>47.826086956521742</v>
      </c>
      <c r="S42" s="15">
        <f>(AVERAGE(H42:L42))/G42</f>
        <v>14.6</v>
      </c>
      <c r="T42" s="8">
        <f>(R42*S42)/100</f>
        <v>6.982608695652174</v>
      </c>
      <c r="U42" s="1"/>
      <c r="V42" s="1"/>
      <c r="W42" s="1"/>
      <c r="X42" s="1"/>
      <c r="Y42" s="1"/>
      <c r="Z42" s="1"/>
    </row>
    <row r="43" spans="1:26" ht="13" x14ac:dyDescent="0.15">
      <c r="A43" s="11" t="s">
        <v>11</v>
      </c>
      <c r="B43" s="2">
        <v>1</v>
      </c>
      <c r="C43" s="1" t="s">
        <v>15</v>
      </c>
      <c r="D43" s="2">
        <v>16</v>
      </c>
      <c r="E43" s="2">
        <v>13</v>
      </c>
      <c r="F43" s="2">
        <v>5</v>
      </c>
      <c r="G43" s="6">
        <v>4</v>
      </c>
      <c r="H43" s="2">
        <v>100</v>
      </c>
      <c r="I43" s="2">
        <v>100</v>
      </c>
      <c r="J43" s="2">
        <v>100</v>
      </c>
      <c r="K43" s="2">
        <v>10</v>
      </c>
      <c r="L43" s="2">
        <v>0</v>
      </c>
      <c r="M43" s="1"/>
      <c r="N43" s="1"/>
      <c r="O43" s="1"/>
      <c r="P43" s="1"/>
      <c r="Q43" s="1"/>
      <c r="R43" s="7">
        <f t="shared" si="0"/>
        <v>81.25</v>
      </c>
      <c r="S43" s="15">
        <f>(AVERAGE(H43:K43))/G43</f>
        <v>19.375</v>
      </c>
      <c r="T43" s="8">
        <f t="shared" si="1"/>
        <v>15.7421875</v>
      </c>
      <c r="U43" s="1"/>
      <c r="V43" s="1"/>
      <c r="W43" s="1"/>
      <c r="X43" s="1"/>
      <c r="Y43" s="1"/>
      <c r="Z43" s="1"/>
    </row>
    <row r="44" spans="1:26" ht="13" x14ac:dyDescent="0.15">
      <c r="A44" s="11" t="s">
        <v>11</v>
      </c>
      <c r="B44" s="2">
        <v>2</v>
      </c>
      <c r="C44" s="1" t="s">
        <v>15</v>
      </c>
      <c r="D44" s="2">
        <v>22.5</v>
      </c>
      <c r="E44" s="2">
        <v>16</v>
      </c>
      <c r="F44" s="2">
        <v>5</v>
      </c>
      <c r="G44" s="6">
        <v>4</v>
      </c>
      <c r="H44" s="2">
        <v>100</v>
      </c>
      <c r="I44" s="2">
        <v>100</v>
      </c>
      <c r="J44" s="2">
        <v>100</v>
      </c>
      <c r="K44" s="2">
        <v>30</v>
      </c>
      <c r="L44" s="2">
        <v>1</v>
      </c>
      <c r="M44" s="2">
        <v>0</v>
      </c>
      <c r="N44" s="1"/>
      <c r="O44" s="1"/>
      <c r="P44" s="1"/>
      <c r="Q44" s="1"/>
      <c r="R44" s="7">
        <f t="shared" si="0"/>
        <v>71.111111111111114</v>
      </c>
      <c r="S44" s="15">
        <f>(AVERAGE(H44:K44))/G44</f>
        <v>20.625</v>
      </c>
      <c r="T44" s="8">
        <f t="shared" si="1"/>
        <v>14.666666666666668</v>
      </c>
      <c r="U44" s="1"/>
      <c r="V44" s="1"/>
      <c r="W44" s="1"/>
      <c r="X44" s="1"/>
      <c r="Y44" s="1"/>
      <c r="Z44" s="1"/>
    </row>
    <row r="45" spans="1:26" ht="13" x14ac:dyDescent="0.15">
      <c r="A45" s="11" t="s">
        <v>11</v>
      </c>
      <c r="B45" s="2">
        <v>3</v>
      </c>
      <c r="C45" s="1" t="s">
        <v>15</v>
      </c>
      <c r="D45" s="2">
        <v>13.5</v>
      </c>
      <c r="E45" s="2">
        <v>11</v>
      </c>
      <c r="F45" s="2">
        <v>4</v>
      </c>
      <c r="G45" s="6">
        <v>4</v>
      </c>
      <c r="H45" s="2">
        <v>100</v>
      </c>
      <c r="I45" s="2">
        <v>100</v>
      </c>
      <c r="J45" s="2">
        <v>40</v>
      </c>
      <c r="K45" s="2">
        <v>2</v>
      </c>
      <c r="L45" s="2">
        <v>0</v>
      </c>
      <c r="M45" s="2">
        <v>0</v>
      </c>
      <c r="N45" s="1"/>
      <c r="O45" s="1"/>
      <c r="P45" s="1"/>
      <c r="Q45" s="1"/>
      <c r="R45" s="7">
        <f t="shared" si="0"/>
        <v>81.481481481481481</v>
      </c>
      <c r="S45" s="15">
        <f>(AVERAGE(H45:K45))/G45</f>
        <v>15.125</v>
      </c>
      <c r="T45" s="8">
        <f t="shared" si="1"/>
        <v>12.324074074074074</v>
      </c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6"/>
      <c r="T46" s="8"/>
      <c r="U46" s="1"/>
      <c r="V46" s="1"/>
      <c r="W46" s="1"/>
      <c r="X46" s="1"/>
      <c r="Y46" s="1"/>
      <c r="Z46" s="1"/>
    </row>
    <row r="47" spans="1:26" ht="13" x14ac:dyDescent="0.15">
      <c r="A47" s="1" t="s">
        <v>12</v>
      </c>
      <c r="B47" s="2">
        <v>1</v>
      </c>
      <c r="C47" s="1" t="s">
        <v>16</v>
      </c>
      <c r="D47" s="2">
        <v>19</v>
      </c>
      <c r="E47" s="2">
        <v>14</v>
      </c>
      <c r="F47" s="2">
        <v>6</v>
      </c>
      <c r="G47" s="6">
        <v>5</v>
      </c>
      <c r="H47" s="2">
        <v>100</v>
      </c>
      <c r="I47" s="2">
        <v>100</v>
      </c>
      <c r="J47" s="2">
        <v>100</v>
      </c>
      <c r="K47" s="2">
        <v>15</v>
      </c>
      <c r="L47" s="2">
        <v>1</v>
      </c>
      <c r="M47" s="2">
        <v>0</v>
      </c>
      <c r="N47" s="1"/>
      <c r="O47" s="1"/>
      <c r="P47" s="1"/>
      <c r="Q47" s="1"/>
      <c r="R47" s="7">
        <f t="shared" si="0"/>
        <v>73.68421052631578</v>
      </c>
      <c r="S47" s="15">
        <f>(AVERAGE(H47:L47))/G47</f>
        <v>12.64</v>
      </c>
      <c r="T47" s="8">
        <f t="shared" si="1"/>
        <v>9.3136842105263149</v>
      </c>
      <c r="U47" s="1"/>
      <c r="V47" s="1"/>
      <c r="W47" s="1"/>
      <c r="X47" s="1"/>
      <c r="Y47" s="1"/>
      <c r="Z47" s="1"/>
    </row>
    <row r="48" spans="1:26" ht="13" x14ac:dyDescent="0.15">
      <c r="A48" s="1" t="s">
        <v>12</v>
      </c>
      <c r="B48" s="2">
        <v>2</v>
      </c>
      <c r="C48" s="1" t="s">
        <v>16</v>
      </c>
      <c r="D48" s="2">
        <v>16</v>
      </c>
      <c r="E48" s="2">
        <v>10</v>
      </c>
      <c r="F48" s="2">
        <v>5</v>
      </c>
      <c r="G48" s="6">
        <v>4</v>
      </c>
      <c r="H48" s="2">
        <v>100</v>
      </c>
      <c r="I48" s="2">
        <v>100</v>
      </c>
      <c r="J48" s="2">
        <v>100</v>
      </c>
      <c r="K48" s="2">
        <v>15</v>
      </c>
      <c r="L48" s="2">
        <v>0</v>
      </c>
      <c r="M48" s="2">
        <v>0</v>
      </c>
      <c r="N48" s="1"/>
      <c r="O48" s="1"/>
      <c r="P48" s="1"/>
      <c r="Q48" s="1"/>
      <c r="R48" s="7">
        <f>(E48/D48)*100</f>
        <v>62.5</v>
      </c>
      <c r="S48" s="15">
        <f>(AVERAGE(H48:K48))/G48</f>
        <v>19.6875</v>
      </c>
      <c r="T48" s="8">
        <f t="shared" si="1"/>
        <v>12.3046875</v>
      </c>
      <c r="U48" s="1"/>
      <c r="V48" s="1"/>
      <c r="W48" s="1"/>
      <c r="X48" s="1"/>
      <c r="Y48" s="1"/>
      <c r="Z48" s="1"/>
    </row>
    <row r="49" spans="1:26" ht="13" x14ac:dyDescent="0.15">
      <c r="A49" s="1" t="s">
        <v>12</v>
      </c>
      <c r="B49" s="2">
        <v>3</v>
      </c>
      <c r="C49" s="1" t="s">
        <v>16</v>
      </c>
      <c r="D49" s="2">
        <v>11</v>
      </c>
      <c r="E49" s="2">
        <v>9</v>
      </c>
      <c r="F49" s="2">
        <v>6</v>
      </c>
      <c r="G49" s="6">
        <v>4</v>
      </c>
      <c r="H49" s="2">
        <v>100</v>
      </c>
      <c r="I49" s="2">
        <v>100</v>
      </c>
      <c r="J49" s="2">
        <v>80</v>
      </c>
      <c r="K49" s="2">
        <v>5</v>
      </c>
      <c r="L49" s="2">
        <v>1</v>
      </c>
      <c r="M49" s="2">
        <v>0</v>
      </c>
      <c r="N49" s="1"/>
      <c r="O49" s="1"/>
      <c r="P49" s="1"/>
      <c r="Q49" s="1"/>
      <c r="R49" s="7">
        <f t="shared" si="0"/>
        <v>81.818181818181827</v>
      </c>
      <c r="S49" s="15">
        <f>(AVERAGE(H49:K49))/G49</f>
        <v>17.8125</v>
      </c>
      <c r="T49" s="8">
        <f t="shared" si="1"/>
        <v>14.573863636363637</v>
      </c>
      <c r="U49" s="1"/>
      <c r="V49" s="1"/>
      <c r="W49" s="1"/>
      <c r="X49" s="1"/>
      <c r="Y49" s="1"/>
      <c r="Z49" s="1"/>
    </row>
    <row r="50" spans="1:26" ht="13" x14ac:dyDescent="0.15">
      <c r="A50" s="1" t="s">
        <v>14</v>
      </c>
      <c r="B50" s="2">
        <v>1</v>
      </c>
      <c r="C50" s="1" t="s">
        <v>16</v>
      </c>
      <c r="D50" s="2">
        <v>28</v>
      </c>
      <c r="E50" s="2">
        <v>14</v>
      </c>
      <c r="F50" s="2">
        <v>7</v>
      </c>
      <c r="G50" s="6">
        <v>5</v>
      </c>
      <c r="H50" s="2">
        <v>100</v>
      </c>
      <c r="I50" s="2">
        <v>100</v>
      </c>
      <c r="J50" s="2">
        <v>100</v>
      </c>
      <c r="K50" s="2">
        <v>2</v>
      </c>
      <c r="L50" s="2">
        <v>2</v>
      </c>
      <c r="M50" s="1"/>
      <c r="N50" s="1"/>
      <c r="O50" s="1"/>
      <c r="P50" s="1"/>
      <c r="Q50" s="1"/>
      <c r="R50" s="7">
        <f t="shared" si="0"/>
        <v>50</v>
      </c>
      <c r="S50" s="15">
        <f>(AVERAGE(H50:L50))/G50</f>
        <v>12.16</v>
      </c>
      <c r="T50" s="8">
        <f t="shared" si="1"/>
        <v>6.08</v>
      </c>
      <c r="U50" s="1"/>
      <c r="V50" s="1"/>
      <c r="W50" s="1"/>
      <c r="X50" s="1"/>
      <c r="Y50" s="1"/>
      <c r="Z50" s="1"/>
    </row>
    <row r="51" spans="1:26" ht="13" x14ac:dyDescent="0.15">
      <c r="A51" s="1" t="s">
        <v>14</v>
      </c>
      <c r="B51" s="2">
        <v>2</v>
      </c>
      <c r="C51" s="1" t="s">
        <v>16</v>
      </c>
      <c r="D51" s="2">
        <v>30</v>
      </c>
      <c r="E51" s="2">
        <v>13</v>
      </c>
      <c r="F51" s="2">
        <v>7</v>
      </c>
      <c r="G51" s="6">
        <v>5</v>
      </c>
      <c r="H51" s="2">
        <v>10</v>
      </c>
      <c r="I51" s="2">
        <v>80</v>
      </c>
      <c r="J51" s="2">
        <v>100</v>
      </c>
      <c r="K51" s="2">
        <v>100</v>
      </c>
      <c r="L51" s="2">
        <v>2</v>
      </c>
      <c r="M51" s="2">
        <v>0</v>
      </c>
      <c r="N51" s="1"/>
      <c r="O51" s="1"/>
      <c r="P51" s="1"/>
      <c r="Q51" s="1"/>
      <c r="R51" s="7">
        <f t="shared" si="0"/>
        <v>43.333333333333336</v>
      </c>
      <c r="S51" s="15">
        <f>(AVERAGE(H51:L51))/G51</f>
        <v>11.68</v>
      </c>
      <c r="T51" s="8">
        <f t="shared" si="1"/>
        <v>5.0613333333333337</v>
      </c>
      <c r="U51" s="1"/>
      <c r="V51" s="1"/>
      <c r="W51" s="1"/>
      <c r="X51" s="1"/>
      <c r="Y51" s="1"/>
      <c r="Z51" s="1"/>
    </row>
    <row r="52" spans="1:26" ht="13" x14ac:dyDescent="0.15">
      <c r="A52" s="1" t="s">
        <v>14</v>
      </c>
      <c r="B52" s="2">
        <v>3</v>
      </c>
      <c r="C52" s="1" t="s">
        <v>16</v>
      </c>
      <c r="D52" s="2">
        <v>25</v>
      </c>
      <c r="E52" s="2">
        <v>14</v>
      </c>
      <c r="F52" s="2">
        <v>7</v>
      </c>
      <c r="G52" s="6">
        <v>6</v>
      </c>
      <c r="H52" s="2">
        <v>100</v>
      </c>
      <c r="I52" s="2">
        <v>100</v>
      </c>
      <c r="J52" s="2">
        <v>100</v>
      </c>
      <c r="K52" s="2">
        <v>100</v>
      </c>
      <c r="L52" s="2">
        <v>5</v>
      </c>
      <c r="M52" s="2">
        <v>1</v>
      </c>
      <c r="N52" s="1"/>
      <c r="O52" s="1"/>
      <c r="P52" s="1"/>
      <c r="Q52" s="1"/>
      <c r="R52" s="7">
        <f t="shared" si="0"/>
        <v>56.000000000000007</v>
      </c>
      <c r="S52" s="15">
        <f>(AVERAGE(H52:M52))/G52</f>
        <v>11.277777777777779</v>
      </c>
      <c r="T52" s="8">
        <f t="shared" si="1"/>
        <v>6.3155555555555569</v>
      </c>
      <c r="U52" s="1"/>
      <c r="V52" s="1"/>
      <c r="W52" s="1"/>
      <c r="X52" s="1"/>
      <c r="Y52" s="1"/>
      <c r="Z52" s="1"/>
    </row>
    <row r="53" spans="1:26" ht="13" x14ac:dyDescent="0.15">
      <c r="A53" s="1" t="s">
        <v>10</v>
      </c>
      <c r="B53" s="2">
        <v>1</v>
      </c>
      <c r="C53" s="1" t="s">
        <v>16</v>
      </c>
      <c r="D53" s="2">
        <v>20</v>
      </c>
      <c r="E53" s="2">
        <v>9</v>
      </c>
      <c r="F53" s="2">
        <v>6</v>
      </c>
      <c r="G53" s="6">
        <v>4</v>
      </c>
      <c r="H53" s="2">
        <v>100</v>
      </c>
      <c r="I53" s="2">
        <v>100</v>
      </c>
      <c r="J53" s="2">
        <v>60</v>
      </c>
      <c r="K53" s="2">
        <v>15</v>
      </c>
      <c r="L53" s="2">
        <v>0</v>
      </c>
      <c r="M53" s="2">
        <v>0</v>
      </c>
      <c r="N53" s="1"/>
      <c r="O53" s="1"/>
      <c r="P53" s="1"/>
      <c r="Q53" s="1"/>
      <c r="R53" s="7">
        <f t="shared" si="0"/>
        <v>45</v>
      </c>
      <c r="S53" s="15">
        <f>(AVERAGE(H53:K53))/G53</f>
        <v>17.1875</v>
      </c>
      <c r="T53" s="8">
        <f>(R53*S53)/100</f>
        <v>7.734375</v>
      </c>
      <c r="U53" s="1"/>
      <c r="V53" s="1"/>
      <c r="W53" s="1"/>
      <c r="X53" s="1"/>
      <c r="Y53" s="1"/>
      <c r="Z53" s="1"/>
    </row>
    <row r="54" spans="1:26" ht="13" x14ac:dyDescent="0.15">
      <c r="A54" s="1" t="s">
        <v>10</v>
      </c>
      <c r="B54" s="2">
        <v>2</v>
      </c>
      <c r="C54" s="1" t="s">
        <v>16</v>
      </c>
      <c r="D54" s="2">
        <v>20</v>
      </c>
      <c r="E54" s="2">
        <v>12</v>
      </c>
      <c r="F54" s="2">
        <v>7</v>
      </c>
      <c r="G54" s="6">
        <v>5</v>
      </c>
      <c r="H54" s="2">
        <v>100</v>
      </c>
      <c r="I54" s="2">
        <v>80</v>
      </c>
      <c r="J54" s="2">
        <v>70</v>
      </c>
      <c r="K54" s="2">
        <v>40</v>
      </c>
      <c r="L54" s="2">
        <v>2</v>
      </c>
      <c r="M54" s="2">
        <v>1</v>
      </c>
      <c r="N54" s="2">
        <v>0</v>
      </c>
      <c r="O54" s="2">
        <v>0</v>
      </c>
      <c r="P54" s="1"/>
      <c r="Q54" s="1"/>
      <c r="R54" s="7">
        <f t="shared" si="0"/>
        <v>60</v>
      </c>
      <c r="S54" s="15">
        <f>(AVERAGE(H54:L54))/G54</f>
        <v>11.68</v>
      </c>
      <c r="T54" s="8">
        <f t="shared" si="1"/>
        <v>7.0079999999999991</v>
      </c>
      <c r="U54" s="1"/>
      <c r="V54" s="1"/>
      <c r="W54" s="1"/>
      <c r="X54" s="1"/>
      <c r="Y54" s="1"/>
      <c r="Z54" s="1"/>
    </row>
    <row r="55" spans="1:26" ht="13" x14ac:dyDescent="0.15">
      <c r="A55" s="1" t="s">
        <v>10</v>
      </c>
      <c r="B55" s="2">
        <v>3</v>
      </c>
      <c r="C55" s="1" t="s">
        <v>16</v>
      </c>
      <c r="D55" s="2">
        <v>19</v>
      </c>
      <c r="E55" s="2">
        <v>11</v>
      </c>
      <c r="F55" s="2">
        <v>6</v>
      </c>
      <c r="G55" s="6">
        <v>5</v>
      </c>
      <c r="H55" s="2">
        <v>100</v>
      </c>
      <c r="I55" s="2">
        <v>100</v>
      </c>
      <c r="J55" s="2">
        <v>100</v>
      </c>
      <c r="K55" s="2">
        <v>30</v>
      </c>
      <c r="L55" s="2">
        <v>10</v>
      </c>
      <c r="M55" s="2">
        <v>2</v>
      </c>
      <c r="N55" s="2">
        <v>0</v>
      </c>
      <c r="O55" s="2">
        <v>0</v>
      </c>
      <c r="P55" s="1"/>
      <c r="Q55" s="1"/>
      <c r="R55" s="7">
        <f t="shared" si="0"/>
        <v>57.894736842105267</v>
      </c>
      <c r="S55" s="15">
        <f>(AVERAGE(H55:L55))/G55</f>
        <v>13.6</v>
      </c>
      <c r="T55" s="8">
        <f t="shared" si="1"/>
        <v>7.8736842105263154</v>
      </c>
      <c r="U55" s="1"/>
      <c r="V55" s="1"/>
      <c r="W55" s="1"/>
      <c r="X55" s="1"/>
      <c r="Y55" s="1"/>
      <c r="Z55" s="1"/>
    </row>
    <row r="56" spans="1:26" ht="13" x14ac:dyDescent="0.15">
      <c r="A56" s="11" t="s">
        <v>11</v>
      </c>
      <c r="B56" s="2">
        <v>1</v>
      </c>
      <c r="C56" s="1" t="s">
        <v>16</v>
      </c>
      <c r="D56" s="2">
        <v>14</v>
      </c>
      <c r="E56" s="2">
        <v>14</v>
      </c>
      <c r="F56" s="2">
        <v>5</v>
      </c>
      <c r="G56" s="6">
        <v>5</v>
      </c>
      <c r="H56" s="2">
        <v>100</v>
      </c>
      <c r="I56" s="2">
        <v>100</v>
      </c>
      <c r="J56" s="2">
        <v>100</v>
      </c>
      <c r="K56" s="2">
        <v>100</v>
      </c>
      <c r="L56" s="2">
        <v>100</v>
      </c>
      <c r="M56" s="2">
        <v>30</v>
      </c>
      <c r="N56" s="1"/>
      <c r="O56" s="1"/>
      <c r="P56" s="1"/>
      <c r="Q56" s="1"/>
      <c r="R56" s="7">
        <f t="shared" si="0"/>
        <v>100</v>
      </c>
      <c r="S56" s="15">
        <f>(AVERAGE(H56:K56))/G56</f>
        <v>20</v>
      </c>
      <c r="T56" s="8">
        <f t="shared" si="1"/>
        <v>20</v>
      </c>
      <c r="U56" s="1"/>
      <c r="V56" s="1"/>
      <c r="W56" s="1"/>
      <c r="X56" s="1"/>
      <c r="Y56" s="1"/>
      <c r="Z56" s="1"/>
    </row>
    <row r="57" spans="1:26" ht="13" x14ac:dyDescent="0.15">
      <c r="A57" s="11" t="s">
        <v>11</v>
      </c>
      <c r="B57" s="2">
        <v>2</v>
      </c>
      <c r="C57" s="1" t="s">
        <v>16</v>
      </c>
      <c r="D57" s="2">
        <v>21</v>
      </c>
      <c r="E57" s="2">
        <v>10</v>
      </c>
      <c r="F57" s="2">
        <v>6</v>
      </c>
      <c r="G57" s="6">
        <v>5</v>
      </c>
      <c r="H57" s="2">
        <v>100</v>
      </c>
      <c r="I57" s="2">
        <v>100</v>
      </c>
      <c r="J57" s="2">
        <v>80</v>
      </c>
      <c r="K57" s="2">
        <v>20</v>
      </c>
      <c r="L57" s="2">
        <v>1</v>
      </c>
      <c r="M57" s="2">
        <v>0</v>
      </c>
      <c r="N57" s="1"/>
      <c r="O57" s="1"/>
      <c r="P57" s="1"/>
      <c r="Q57" s="1"/>
      <c r="R57" s="7">
        <f t="shared" si="0"/>
        <v>47.619047619047613</v>
      </c>
      <c r="S57" s="15">
        <f>(AVERAGE(H57:L57))/G57</f>
        <v>12.040000000000001</v>
      </c>
      <c r="T57" s="8">
        <f t="shared" si="1"/>
        <v>5.7333333333333325</v>
      </c>
      <c r="U57" s="1"/>
      <c r="V57" s="1"/>
      <c r="W57" s="1"/>
      <c r="X57" s="1"/>
      <c r="Y57" s="1"/>
      <c r="Z57" s="1"/>
    </row>
    <row r="58" spans="1:26" ht="13" x14ac:dyDescent="0.15">
      <c r="A58" s="11" t="s">
        <v>11</v>
      </c>
      <c r="B58" s="2">
        <v>3</v>
      </c>
      <c r="C58" s="1" t="s">
        <v>16</v>
      </c>
      <c r="D58" s="2">
        <v>15.5</v>
      </c>
      <c r="E58" s="2">
        <v>10</v>
      </c>
      <c r="F58" s="2">
        <v>6</v>
      </c>
      <c r="G58" s="6">
        <v>5</v>
      </c>
      <c r="H58" s="2">
        <v>100</v>
      </c>
      <c r="I58" s="2">
        <v>100</v>
      </c>
      <c r="J58" s="2">
        <v>80</v>
      </c>
      <c r="K58" s="2">
        <v>40</v>
      </c>
      <c r="L58" s="2">
        <v>2</v>
      </c>
      <c r="M58" s="2">
        <v>0</v>
      </c>
      <c r="N58" s="2">
        <v>0</v>
      </c>
      <c r="O58" s="1"/>
      <c r="P58" s="1"/>
      <c r="Q58" s="1"/>
      <c r="R58" s="7">
        <f t="shared" si="0"/>
        <v>64.516129032258064</v>
      </c>
      <c r="S58" s="15">
        <f>(AVERAGE(H58:L58))/G58</f>
        <v>12.88</v>
      </c>
      <c r="T58" s="8">
        <f t="shared" si="1"/>
        <v>8.3096774193548395</v>
      </c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6"/>
      <c r="T59" s="8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6"/>
      <c r="T60" s="8"/>
      <c r="U60" s="1"/>
      <c r="V60" s="1"/>
      <c r="W60" s="1"/>
      <c r="X60" s="1"/>
      <c r="Y60" s="1"/>
      <c r="Z60" s="1"/>
    </row>
    <row r="61" spans="1:26" ht="13" x14ac:dyDescent="0.15">
      <c r="A61" s="1" t="s">
        <v>12</v>
      </c>
      <c r="B61" s="2">
        <v>1</v>
      </c>
      <c r="C61" s="1" t="s">
        <v>17</v>
      </c>
      <c r="D61" s="2">
        <v>17</v>
      </c>
      <c r="E61" s="2">
        <v>12</v>
      </c>
      <c r="F61" s="2">
        <v>5</v>
      </c>
      <c r="G61" s="6">
        <v>4</v>
      </c>
      <c r="H61" s="2">
        <v>30</v>
      </c>
      <c r="I61" s="2">
        <v>60</v>
      </c>
      <c r="J61" s="2">
        <v>10</v>
      </c>
      <c r="K61" s="2">
        <v>5</v>
      </c>
      <c r="L61" s="2">
        <v>0</v>
      </c>
      <c r="M61" s="2">
        <v>0</v>
      </c>
      <c r="N61" s="1"/>
      <c r="O61" s="1"/>
      <c r="P61" s="1"/>
      <c r="Q61" s="1"/>
      <c r="R61" s="7">
        <f t="shared" si="0"/>
        <v>70.588235294117652</v>
      </c>
      <c r="S61" s="15">
        <f>(AVERAGE(H61:K61))/G61</f>
        <v>6.5625</v>
      </c>
      <c r="T61" s="8">
        <f t="shared" si="1"/>
        <v>4.632352941176471</v>
      </c>
      <c r="U61" s="1"/>
      <c r="V61" s="1"/>
      <c r="W61" s="1"/>
      <c r="X61" s="1"/>
      <c r="Y61" s="1"/>
      <c r="Z61" s="1"/>
    </row>
    <row r="62" spans="1:26" ht="13" x14ac:dyDescent="0.15">
      <c r="A62" s="1" t="s">
        <v>12</v>
      </c>
      <c r="B62" s="2">
        <v>2</v>
      </c>
      <c r="C62" s="1" t="s">
        <v>17</v>
      </c>
      <c r="D62" s="2">
        <v>14</v>
      </c>
      <c r="E62" s="2">
        <v>8</v>
      </c>
      <c r="F62" s="2">
        <v>5</v>
      </c>
      <c r="G62" s="6">
        <v>4</v>
      </c>
      <c r="H62" s="2">
        <v>100</v>
      </c>
      <c r="I62" s="2">
        <v>20</v>
      </c>
      <c r="J62" s="2">
        <v>2</v>
      </c>
      <c r="K62" s="2">
        <v>1</v>
      </c>
      <c r="L62" s="2">
        <v>0</v>
      </c>
      <c r="M62" s="2">
        <v>0</v>
      </c>
      <c r="N62" s="1"/>
      <c r="O62" s="1"/>
      <c r="P62" s="1"/>
      <c r="Q62" s="1"/>
      <c r="R62" s="7">
        <f t="shared" si="0"/>
        <v>57.142857142857139</v>
      </c>
      <c r="S62" s="15">
        <f>(AVERAGE(H62:K62))/G62</f>
        <v>7.6875</v>
      </c>
      <c r="T62" s="8">
        <f t="shared" si="1"/>
        <v>4.3928571428571423</v>
      </c>
      <c r="U62" s="1"/>
      <c r="V62" s="1"/>
      <c r="W62" s="1"/>
      <c r="X62" s="1"/>
      <c r="Y62" s="1"/>
      <c r="Z62" s="1"/>
    </row>
    <row r="63" spans="1:26" ht="13" x14ac:dyDescent="0.15">
      <c r="A63" s="1" t="s">
        <v>12</v>
      </c>
      <c r="B63" s="2">
        <v>3</v>
      </c>
      <c r="C63" s="1" t="s">
        <v>17</v>
      </c>
      <c r="D63" s="2">
        <v>16.5</v>
      </c>
      <c r="E63" s="2">
        <v>10</v>
      </c>
      <c r="F63" s="2">
        <v>6</v>
      </c>
      <c r="G63" s="6">
        <v>4</v>
      </c>
      <c r="H63" s="2">
        <v>60</v>
      </c>
      <c r="I63" s="2">
        <v>60</v>
      </c>
      <c r="J63" s="2">
        <v>10</v>
      </c>
      <c r="K63" s="2">
        <v>1</v>
      </c>
      <c r="L63" s="2">
        <v>0</v>
      </c>
      <c r="M63" s="1"/>
      <c r="N63" s="1"/>
      <c r="O63" s="1"/>
      <c r="P63" s="1"/>
      <c r="Q63" s="1"/>
      <c r="R63" s="7">
        <f t="shared" si="0"/>
        <v>60.606060606060609</v>
      </c>
      <c r="S63" s="15">
        <f>(AVERAGE(H63:K63))/G63</f>
        <v>8.1875</v>
      </c>
      <c r="T63" s="8">
        <f>(R63*S63)/100</f>
        <v>4.9621212121212128</v>
      </c>
      <c r="U63" s="1"/>
      <c r="V63" s="1"/>
      <c r="W63" s="1"/>
      <c r="X63" s="1"/>
      <c r="Y63" s="1"/>
      <c r="Z63" s="1"/>
    </row>
    <row r="64" spans="1:26" ht="13" x14ac:dyDescent="0.15">
      <c r="A64" s="1" t="s">
        <v>14</v>
      </c>
      <c r="B64" s="2">
        <v>1</v>
      </c>
      <c r="C64" s="1" t="s">
        <v>17</v>
      </c>
      <c r="D64" s="2">
        <v>19</v>
      </c>
      <c r="E64" s="2">
        <v>13</v>
      </c>
      <c r="F64" s="2">
        <v>6</v>
      </c>
      <c r="G64" s="6">
        <v>5</v>
      </c>
      <c r="H64" s="2">
        <v>100</v>
      </c>
      <c r="I64" s="2">
        <v>100</v>
      </c>
      <c r="J64" s="2">
        <v>70</v>
      </c>
      <c r="K64" s="2">
        <v>60</v>
      </c>
      <c r="L64" s="2">
        <v>2</v>
      </c>
      <c r="M64" s="2">
        <v>0</v>
      </c>
      <c r="N64" s="1"/>
      <c r="O64" s="1"/>
      <c r="P64" s="1"/>
      <c r="Q64" s="1"/>
      <c r="R64" s="7">
        <f t="shared" si="0"/>
        <v>68.421052631578945</v>
      </c>
      <c r="S64" s="15">
        <f>(AVERAGE(H64:L64))/G64</f>
        <v>13.280000000000001</v>
      </c>
      <c r="T64" s="8">
        <f t="shared" si="1"/>
        <v>9.0863157894736837</v>
      </c>
      <c r="U64" s="1"/>
      <c r="V64" s="1"/>
      <c r="W64" s="1"/>
      <c r="X64" s="1"/>
      <c r="Y64" s="1"/>
      <c r="Z64" s="1"/>
    </row>
    <row r="65" spans="1:26" ht="13" x14ac:dyDescent="0.15">
      <c r="A65" s="1" t="s">
        <v>14</v>
      </c>
      <c r="B65" s="2">
        <v>2</v>
      </c>
      <c r="C65" s="1" t="s">
        <v>17</v>
      </c>
      <c r="D65" s="2">
        <v>28</v>
      </c>
      <c r="E65" s="2">
        <v>14</v>
      </c>
      <c r="F65" s="2">
        <v>6</v>
      </c>
      <c r="G65" s="6">
        <v>4</v>
      </c>
      <c r="H65" s="2">
        <v>60</v>
      </c>
      <c r="I65" s="2">
        <v>60</v>
      </c>
      <c r="J65" s="2">
        <v>40</v>
      </c>
      <c r="K65" s="2">
        <v>1</v>
      </c>
      <c r="L65" s="2">
        <v>0</v>
      </c>
      <c r="M65" s="2">
        <v>0</v>
      </c>
      <c r="N65" s="1"/>
      <c r="O65" s="1"/>
      <c r="P65" s="1"/>
      <c r="Q65" s="1"/>
      <c r="R65" s="7">
        <f t="shared" si="0"/>
        <v>50</v>
      </c>
      <c r="S65" s="15">
        <f t="shared" ref="S65" si="2">(AVERAGE(H65:K65))/G65</f>
        <v>10.0625</v>
      </c>
      <c r="T65" s="8">
        <f t="shared" si="1"/>
        <v>5.03125</v>
      </c>
      <c r="U65" s="1"/>
      <c r="V65" s="1"/>
      <c r="W65" s="1"/>
      <c r="X65" s="1"/>
      <c r="Y65" s="1"/>
      <c r="Z65" s="1"/>
    </row>
    <row r="66" spans="1:26" ht="13" x14ac:dyDescent="0.15">
      <c r="A66" s="1" t="s">
        <v>14</v>
      </c>
      <c r="B66" s="2">
        <v>3</v>
      </c>
      <c r="C66" s="1" t="s">
        <v>17</v>
      </c>
      <c r="D66" s="2">
        <v>19</v>
      </c>
      <c r="E66" s="2">
        <v>10.5</v>
      </c>
      <c r="F66" s="2">
        <v>6</v>
      </c>
      <c r="G66" s="6">
        <v>5</v>
      </c>
      <c r="H66" s="2">
        <v>100</v>
      </c>
      <c r="I66" s="2">
        <v>100</v>
      </c>
      <c r="J66" s="2">
        <v>100</v>
      </c>
      <c r="K66" s="2">
        <v>30</v>
      </c>
      <c r="L66" s="2">
        <v>2</v>
      </c>
      <c r="M66" s="2">
        <v>0</v>
      </c>
      <c r="N66" s="1"/>
      <c r="O66" s="1"/>
      <c r="P66" s="1"/>
      <c r="Q66" s="1"/>
      <c r="R66" s="7">
        <f t="shared" si="0"/>
        <v>55.26315789473685</v>
      </c>
      <c r="S66" s="15">
        <f>(AVERAGE(H66:L66))/G66</f>
        <v>13.280000000000001</v>
      </c>
      <c r="T66" s="8">
        <f t="shared" si="1"/>
        <v>7.3389473684210547</v>
      </c>
      <c r="U66" s="1"/>
      <c r="V66" s="1"/>
      <c r="W66" s="1"/>
      <c r="X66" s="1"/>
      <c r="Y66" s="1"/>
      <c r="Z66" s="1"/>
    </row>
    <row r="67" spans="1:26" ht="13" x14ac:dyDescent="0.15">
      <c r="A67" s="1" t="s">
        <v>10</v>
      </c>
      <c r="B67" s="2">
        <v>1</v>
      </c>
      <c r="C67" s="1" t="s">
        <v>17</v>
      </c>
      <c r="D67" s="2">
        <v>12</v>
      </c>
      <c r="E67" s="2">
        <v>7.5</v>
      </c>
      <c r="F67" s="2">
        <v>6</v>
      </c>
      <c r="G67" s="6">
        <v>5</v>
      </c>
      <c r="H67" s="2">
        <v>100</v>
      </c>
      <c r="I67" s="2">
        <v>100</v>
      </c>
      <c r="J67" s="2">
        <v>5</v>
      </c>
      <c r="K67" s="2">
        <v>10</v>
      </c>
      <c r="L67" s="2">
        <v>0</v>
      </c>
      <c r="M67" s="2">
        <v>0</v>
      </c>
      <c r="N67" s="1"/>
      <c r="O67" s="1"/>
      <c r="P67" s="1"/>
      <c r="Q67" s="1"/>
      <c r="R67" s="7">
        <f t="shared" si="0"/>
        <v>62.5</v>
      </c>
      <c r="S67" s="15">
        <f>(AVERAGE(H67:L67))/G67</f>
        <v>8.6</v>
      </c>
      <c r="T67" s="8">
        <f t="shared" si="1"/>
        <v>5.375</v>
      </c>
      <c r="U67" s="1"/>
      <c r="V67" s="1"/>
      <c r="W67" s="1"/>
      <c r="X67" s="1"/>
      <c r="Y67" s="1"/>
      <c r="Z67" s="1"/>
    </row>
    <row r="68" spans="1:26" ht="13" x14ac:dyDescent="0.15">
      <c r="A68" s="1" t="s">
        <v>10</v>
      </c>
      <c r="B68" s="2">
        <v>2</v>
      </c>
      <c r="C68" s="1" t="s">
        <v>17</v>
      </c>
      <c r="D68" s="2">
        <v>20</v>
      </c>
      <c r="E68" s="2">
        <v>9</v>
      </c>
      <c r="F68" s="2">
        <v>6</v>
      </c>
      <c r="G68" s="6">
        <v>4</v>
      </c>
      <c r="H68" s="2">
        <v>100</v>
      </c>
      <c r="I68" s="2">
        <v>100</v>
      </c>
      <c r="J68" s="2">
        <v>80</v>
      </c>
      <c r="K68" s="2">
        <v>5</v>
      </c>
      <c r="L68" s="2">
        <v>0</v>
      </c>
      <c r="M68" s="2">
        <v>0</v>
      </c>
      <c r="N68" s="2">
        <v>0</v>
      </c>
      <c r="O68" s="1"/>
      <c r="P68" s="1"/>
      <c r="Q68" s="1"/>
      <c r="R68" s="7">
        <f t="shared" si="0"/>
        <v>45</v>
      </c>
      <c r="S68" s="15">
        <f>(AVERAGE(H68:K68))/G68</f>
        <v>17.8125</v>
      </c>
      <c r="T68" s="8">
        <f t="shared" si="1"/>
        <v>8.015625</v>
      </c>
      <c r="U68" s="1"/>
      <c r="V68" s="1"/>
      <c r="W68" s="1"/>
      <c r="X68" s="1"/>
      <c r="Y68" s="1"/>
      <c r="Z68" s="1"/>
    </row>
    <row r="69" spans="1:26" ht="13" x14ac:dyDescent="0.15">
      <c r="A69" s="1" t="s">
        <v>10</v>
      </c>
      <c r="B69" s="2">
        <v>3</v>
      </c>
      <c r="C69" s="1" t="s">
        <v>17</v>
      </c>
      <c r="D69" s="2">
        <v>23</v>
      </c>
      <c r="E69" s="2">
        <v>10</v>
      </c>
      <c r="F69" s="2">
        <v>8</v>
      </c>
      <c r="G69" s="6">
        <v>5</v>
      </c>
      <c r="H69" s="2">
        <v>100</v>
      </c>
      <c r="I69" s="2">
        <v>100</v>
      </c>
      <c r="J69" s="2">
        <v>100</v>
      </c>
      <c r="K69" s="2">
        <v>100</v>
      </c>
      <c r="L69" s="2">
        <v>30</v>
      </c>
      <c r="M69" s="2">
        <v>30</v>
      </c>
      <c r="N69" s="2">
        <v>0</v>
      </c>
      <c r="O69" s="2">
        <v>0</v>
      </c>
      <c r="P69" s="1"/>
      <c r="Q69" s="1"/>
      <c r="R69" s="7">
        <f t="shared" si="0"/>
        <v>43.478260869565219</v>
      </c>
      <c r="S69" s="15">
        <f>(AVERAGE(H69:L69))/G69</f>
        <v>17.2</v>
      </c>
      <c r="T69" s="8">
        <f t="shared" si="1"/>
        <v>7.4782608695652177</v>
      </c>
      <c r="U69" s="1"/>
      <c r="V69" s="1"/>
      <c r="W69" s="1"/>
      <c r="X69" s="1"/>
      <c r="Y69" s="1"/>
      <c r="Z69" s="1"/>
    </row>
    <row r="70" spans="1:26" ht="13" x14ac:dyDescent="0.15">
      <c r="A70" s="11" t="s">
        <v>11</v>
      </c>
      <c r="B70" s="2">
        <v>1</v>
      </c>
      <c r="C70" s="1" t="s">
        <v>17</v>
      </c>
      <c r="D70" s="2">
        <v>17</v>
      </c>
      <c r="E70" s="2">
        <v>13</v>
      </c>
      <c r="F70" s="2">
        <v>6</v>
      </c>
      <c r="G70" s="6">
        <v>5</v>
      </c>
      <c r="H70" s="2">
        <v>30</v>
      </c>
      <c r="I70" s="2">
        <v>50</v>
      </c>
      <c r="J70" s="2">
        <v>80</v>
      </c>
      <c r="K70" s="2">
        <v>15</v>
      </c>
      <c r="L70" s="2">
        <v>2</v>
      </c>
      <c r="M70" s="2">
        <v>0</v>
      </c>
      <c r="N70" s="1"/>
      <c r="O70" s="1"/>
      <c r="P70" s="1"/>
      <c r="Q70" s="1"/>
      <c r="R70" s="7">
        <f>(E70/D70)*100</f>
        <v>76.470588235294116</v>
      </c>
      <c r="S70" s="15">
        <f>(AVERAGE(H70:L70))/G70</f>
        <v>7.08</v>
      </c>
      <c r="T70" s="8">
        <f t="shared" ref="T70:T72" si="3">(R70*S70)/100</f>
        <v>5.4141176470588235</v>
      </c>
      <c r="U70" s="1"/>
      <c r="V70" s="1"/>
      <c r="W70" s="1"/>
      <c r="X70" s="1"/>
      <c r="Y70" s="1"/>
      <c r="Z70" s="1"/>
    </row>
    <row r="71" spans="1:26" ht="13" x14ac:dyDescent="0.15">
      <c r="A71" s="11" t="s">
        <v>11</v>
      </c>
      <c r="B71" s="2">
        <v>2</v>
      </c>
      <c r="C71" s="1" t="s">
        <v>17</v>
      </c>
      <c r="D71" s="2">
        <v>16.5</v>
      </c>
      <c r="E71" s="2">
        <v>9</v>
      </c>
      <c r="F71" s="2">
        <v>7</v>
      </c>
      <c r="G71" s="6">
        <v>5</v>
      </c>
      <c r="H71" s="2">
        <v>100</v>
      </c>
      <c r="I71" s="2">
        <v>80</v>
      </c>
      <c r="J71" s="2">
        <v>40</v>
      </c>
      <c r="K71" s="2">
        <v>15</v>
      </c>
      <c r="L71" s="2">
        <v>1</v>
      </c>
      <c r="M71" s="2">
        <v>0</v>
      </c>
      <c r="N71" s="2">
        <v>0</v>
      </c>
      <c r="O71" s="1"/>
      <c r="P71" s="1"/>
      <c r="Q71" s="1"/>
      <c r="R71" s="7">
        <f t="shared" si="0"/>
        <v>54.54545454545454</v>
      </c>
      <c r="S71" s="15">
        <f>(AVERAGE(H71:L71))/G71</f>
        <v>9.4400000000000013</v>
      </c>
      <c r="T71" s="8">
        <f t="shared" si="3"/>
        <v>5.1490909090909085</v>
      </c>
      <c r="U71" s="1"/>
      <c r="V71" s="1"/>
      <c r="W71" s="1"/>
      <c r="X71" s="1"/>
      <c r="Y71" s="1"/>
      <c r="Z71" s="1"/>
    </row>
    <row r="72" spans="1:26" ht="13" x14ac:dyDescent="0.15">
      <c r="A72" s="11" t="s">
        <v>11</v>
      </c>
      <c r="B72" s="2">
        <v>3</v>
      </c>
      <c r="C72" s="1" t="s">
        <v>17</v>
      </c>
      <c r="D72" s="2">
        <v>15.5</v>
      </c>
      <c r="E72" s="2">
        <v>12</v>
      </c>
      <c r="F72" s="2">
        <v>5</v>
      </c>
      <c r="G72" s="6">
        <v>4</v>
      </c>
      <c r="H72" s="2">
        <v>100</v>
      </c>
      <c r="I72" s="2">
        <v>100</v>
      </c>
      <c r="J72" s="2">
        <v>100</v>
      </c>
      <c r="K72" s="2">
        <v>10</v>
      </c>
      <c r="L72" s="2">
        <v>1</v>
      </c>
      <c r="M72" s="2">
        <v>0</v>
      </c>
      <c r="N72" s="1"/>
      <c r="O72" s="1"/>
      <c r="P72" s="1"/>
      <c r="Q72" s="1"/>
      <c r="R72" s="7">
        <f t="shared" ref="R72:R79" si="4">(E72/D72)*100</f>
        <v>77.41935483870968</v>
      </c>
      <c r="S72" s="15">
        <f>(AVERAGE(H72:K72))/G72</f>
        <v>19.375</v>
      </c>
      <c r="T72" s="8">
        <f t="shared" si="3"/>
        <v>15</v>
      </c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6"/>
      <c r="T73" s="8"/>
      <c r="U73" s="1"/>
      <c r="V73" s="1"/>
      <c r="W73" s="1"/>
      <c r="X73" s="1"/>
      <c r="Y73" s="1"/>
      <c r="Z73" s="1"/>
    </row>
    <row r="74" spans="1:26" ht="13" x14ac:dyDescent="0.15">
      <c r="A74" s="1" t="s">
        <v>12</v>
      </c>
      <c r="B74" s="2">
        <v>1</v>
      </c>
      <c r="C74" s="1" t="s">
        <v>18</v>
      </c>
      <c r="D74" s="2">
        <v>19</v>
      </c>
      <c r="E74" s="2">
        <v>9</v>
      </c>
      <c r="F74" s="2">
        <v>6</v>
      </c>
      <c r="G74" s="6">
        <v>3</v>
      </c>
      <c r="H74" s="2">
        <v>5</v>
      </c>
      <c r="I74" s="2">
        <v>10</v>
      </c>
      <c r="J74" s="2">
        <v>5</v>
      </c>
      <c r="K74" s="2">
        <v>0</v>
      </c>
      <c r="L74" s="2">
        <v>0</v>
      </c>
      <c r="M74" s="2">
        <v>0</v>
      </c>
      <c r="N74" s="1"/>
      <c r="O74" s="1"/>
      <c r="P74" s="1"/>
      <c r="Q74" s="1"/>
      <c r="R74" s="7">
        <f t="shared" si="4"/>
        <v>47.368421052631575</v>
      </c>
      <c r="S74" s="15">
        <f>(AVERAGE(H74:J74))/G74</f>
        <v>2.2222222222222223</v>
      </c>
      <c r="T74" s="8">
        <f t="shared" ref="T74" si="5">(R74*S74)/100</f>
        <v>1.0526315789473684</v>
      </c>
      <c r="U74" s="1"/>
      <c r="V74" s="1"/>
      <c r="W74" s="1"/>
      <c r="X74" s="1"/>
      <c r="Y74" s="1"/>
      <c r="Z74" s="1"/>
    </row>
    <row r="75" spans="1:26" ht="13" x14ac:dyDescent="0.15">
      <c r="A75" s="1" t="s">
        <v>12</v>
      </c>
      <c r="B75" s="2">
        <v>2</v>
      </c>
      <c r="C75" s="1" t="s">
        <v>18</v>
      </c>
      <c r="D75" s="2">
        <v>27</v>
      </c>
      <c r="E75" s="2">
        <v>12.5</v>
      </c>
      <c r="F75" s="2">
        <v>6</v>
      </c>
      <c r="G75" s="6">
        <v>4</v>
      </c>
      <c r="H75" s="2">
        <v>5</v>
      </c>
      <c r="I75" s="2">
        <v>60</v>
      </c>
      <c r="J75" s="2">
        <v>10</v>
      </c>
      <c r="K75" s="2">
        <v>2</v>
      </c>
      <c r="L75" s="2">
        <v>0</v>
      </c>
      <c r="M75" s="2">
        <v>0</v>
      </c>
      <c r="N75" s="1"/>
      <c r="O75" s="1"/>
      <c r="P75" s="1"/>
      <c r="Q75" s="1"/>
      <c r="R75" s="7">
        <f t="shared" si="4"/>
        <v>46.296296296296298</v>
      </c>
      <c r="S75" s="15">
        <f>(AVERAGE(H75:K75))/G75</f>
        <v>4.8125</v>
      </c>
      <c r="T75" s="8">
        <f>(R75*S75)/100</f>
        <v>2.2280092592592591</v>
      </c>
      <c r="U75" s="1"/>
      <c r="V75" s="1"/>
      <c r="W75" s="1"/>
      <c r="X75" s="1"/>
      <c r="Y75" s="1"/>
      <c r="Z75" s="1"/>
    </row>
    <row r="76" spans="1:26" ht="13" x14ac:dyDescent="0.15">
      <c r="A76" s="1" t="s">
        <v>12</v>
      </c>
      <c r="B76" s="2">
        <v>3</v>
      </c>
      <c r="C76" s="1" t="s">
        <v>18</v>
      </c>
      <c r="D76" s="2">
        <v>23</v>
      </c>
      <c r="E76" s="2">
        <v>13</v>
      </c>
      <c r="F76" s="2">
        <v>6</v>
      </c>
      <c r="G76" s="6">
        <v>4</v>
      </c>
      <c r="H76" s="2">
        <v>15</v>
      </c>
      <c r="I76" s="2">
        <v>25</v>
      </c>
      <c r="J76" s="2">
        <v>10</v>
      </c>
      <c r="K76" s="2">
        <v>1</v>
      </c>
      <c r="L76" s="2">
        <v>0</v>
      </c>
      <c r="M76" s="2">
        <v>0</v>
      </c>
      <c r="N76" s="1"/>
      <c r="O76" s="1"/>
      <c r="P76" s="1"/>
      <c r="Q76" s="1"/>
      <c r="R76" s="7">
        <f t="shared" si="4"/>
        <v>56.521739130434781</v>
      </c>
      <c r="S76" s="15">
        <f>(AVERAGE(H76:K76))/G76</f>
        <v>3.1875</v>
      </c>
      <c r="T76" s="8">
        <f t="shared" ref="T76:T85" si="6">(R76*S76)/100</f>
        <v>1.8016304347826086</v>
      </c>
      <c r="U76" s="1"/>
      <c r="V76" s="1"/>
      <c r="W76" s="1"/>
      <c r="X76" s="1"/>
      <c r="Y76" s="1"/>
      <c r="Z76" s="1"/>
    </row>
    <row r="77" spans="1:26" ht="13" x14ac:dyDescent="0.15">
      <c r="A77" s="1" t="s">
        <v>14</v>
      </c>
      <c r="B77" s="2">
        <v>1</v>
      </c>
      <c r="C77" s="1" t="s">
        <v>18</v>
      </c>
      <c r="D77" s="2">
        <v>20</v>
      </c>
      <c r="E77" s="2">
        <v>12</v>
      </c>
      <c r="F77" s="2">
        <v>5</v>
      </c>
      <c r="G77" s="6">
        <v>3</v>
      </c>
      <c r="H77" s="2">
        <v>30</v>
      </c>
      <c r="I77" s="2">
        <v>15</v>
      </c>
      <c r="J77" s="2">
        <v>2</v>
      </c>
      <c r="K77" s="2">
        <v>0</v>
      </c>
      <c r="L77" s="2">
        <v>0</v>
      </c>
      <c r="M77" s="2">
        <v>0</v>
      </c>
      <c r="N77" s="1"/>
      <c r="O77" s="1"/>
      <c r="P77" s="1"/>
      <c r="Q77" s="1"/>
      <c r="R77" s="7">
        <f t="shared" si="4"/>
        <v>60</v>
      </c>
      <c r="S77" s="15">
        <f>(AVERAGE(H77:J77))/G77</f>
        <v>5.2222222222222223</v>
      </c>
      <c r="T77" s="8">
        <f t="shared" si="6"/>
        <v>3.1333333333333333</v>
      </c>
      <c r="U77" s="1"/>
      <c r="V77" s="1"/>
      <c r="W77" s="1"/>
      <c r="X77" s="1"/>
      <c r="Y77" s="1"/>
      <c r="Z77" s="1"/>
    </row>
    <row r="78" spans="1:26" ht="13" x14ac:dyDescent="0.15">
      <c r="A78" s="1" t="s">
        <v>14</v>
      </c>
      <c r="B78" s="2">
        <v>2</v>
      </c>
      <c r="C78" s="1" t="s">
        <v>18</v>
      </c>
      <c r="D78" s="2">
        <v>19</v>
      </c>
      <c r="E78" s="2">
        <v>13.5</v>
      </c>
      <c r="F78" s="2">
        <v>6</v>
      </c>
      <c r="G78" s="6">
        <v>5</v>
      </c>
      <c r="H78" s="2">
        <v>100</v>
      </c>
      <c r="I78" s="2">
        <v>100</v>
      </c>
      <c r="J78" s="2">
        <v>80</v>
      </c>
      <c r="K78" s="2">
        <v>25</v>
      </c>
      <c r="L78" s="2">
        <v>2</v>
      </c>
      <c r="M78" s="2">
        <v>0</v>
      </c>
      <c r="N78" s="2">
        <v>0</v>
      </c>
      <c r="O78" s="1"/>
      <c r="P78" s="1"/>
      <c r="Q78" s="1"/>
      <c r="R78" s="7">
        <f t="shared" si="4"/>
        <v>71.05263157894737</v>
      </c>
      <c r="S78" s="15">
        <f>(AVERAGE(H78:L78))/G78</f>
        <v>12.28</v>
      </c>
      <c r="T78" s="8">
        <f t="shared" si="6"/>
        <v>8.7252631578947373</v>
      </c>
      <c r="U78" s="1"/>
      <c r="V78" s="1"/>
      <c r="W78" s="1"/>
      <c r="X78" s="1"/>
      <c r="Y78" s="1"/>
      <c r="Z78" s="1"/>
    </row>
    <row r="79" spans="1:26" ht="13" x14ac:dyDescent="0.15">
      <c r="A79" s="1" t="s">
        <v>14</v>
      </c>
      <c r="B79" s="2">
        <v>3</v>
      </c>
      <c r="C79" s="1" t="s">
        <v>18</v>
      </c>
      <c r="D79" s="2">
        <v>24</v>
      </c>
      <c r="E79" s="2">
        <v>14.5</v>
      </c>
      <c r="F79" s="2">
        <v>5</v>
      </c>
      <c r="G79" s="6">
        <v>4</v>
      </c>
      <c r="H79" s="2">
        <v>80</v>
      </c>
      <c r="I79" s="2">
        <v>80</v>
      </c>
      <c r="J79" s="2">
        <v>10</v>
      </c>
      <c r="K79" s="2">
        <v>5</v>
      </c>
      <c r="L79" s="2">
        <v>0</v>
      </c>
      <c r="M79" s="2">
        <v>0</v>
      </c>
      <c r="N79" s="2">
        <v>0</v>
      </c>
      <c r="O79" s="1"/>
      <c r="P79" s="1"/>
      <c r="Q79" s="1"/>
      <c r="R79" s="7">
        <f t="shared" si="4"/>
        <v>60.416666666666664</v>
      </c>
      <c r="S79" s="15">
        <f>(AVERAGE(H79:K79))/G79</f>
        <v>10.9375</v>
      </c>
      <c r="T79" s="8">
        <f t="shared" si="6"/>
        <v>6.6080729166666661</v>
      </c>
      <c r="U79" s="1"/>
      <c r="V79" s="1"/>
      <c r="W79" s="1"/>
      <c r="X79" s="1"/>
      <c r="Y79" s="1"/>
      <c r="Z79" s="1"/>
    </row>
    <row r="80" spans="1:26" ht="13" x14ac:dyDescent="0.15">
      <c r="A80" s="1" t="s">
        <v>10</v>
      </c>
      <c r="B80" s="2">
        <v>1</v>
      </c>
      <c r="C80" s="1" t="s">
        <v>18</v>
      </c>
      <c r="D80" s="2">
        <v>17</v>
      </c>
      <c r="E80" s="2">
        <v>10</v>
      </c>
      <c r="F80" s="2">
        <v>7</v>
      </c>
      <c r="G80" s="6">
        <v>6</v>
      </c>
      <c r="H80" s="2">
        <v>100</v>
      </c>
      <c r="I80" s="2">
        <v>100</v>
      </c>
      <c r="J80" s="2">
        <v>100</v>
      </c>
      <c r="K80" s="2">
        <v>15</v>
      </c>
      <c r="L80" s="2">
        <v>10</v>
      </c>
      <c r="M80" s="2">
        <v>5</v>
      </c>
      <c r="N80" s="2">
        <v>0</v>
      </c>
      <c r="O80" s="1"/>
      <c r="P80" s="1"/>
      <c r="Q80" s="1"/>
      <c r="R80" s="7">
        <f>(E80/D80)*100</f>
        <v>58.82352941176471</v>
      </c>
      <c r="S80" s="15">
        <f>(AVERAGE(H80:M80))/G80</f>
        <v>9.1666666666666661</v>
      </c>
      <c r="T80" s="8">
        <f t="shared" si="6"/>
        <v>5.3921568627450984</v>
      </c>
      <c r="U80" s="1"/>
      <c r="V80" s="1"/>
      <c r="W80" s="1"/>
      <c r="X80" s="1"/>
      <c r="Y80" s="1"/>
      <c r="Z80" s="1"/>
    </row>
    <row r="81" spans="1:26" ht="13" x14ac:dyDescent="0.15">
      <c r="A81" s="1" t="s">
        <v>10</v>
      </c>
      <c r="B81" s="2">
        <v>2</v>
      </c>
      <c r="C81" s="1" t="s">
        <v>18</v>
      </c>
      <c r="D81" s="2">
        <v>16</v>
      </c>
      <c r="E81" s="2">
        <v>12</v>
      </c>
      <c r="F81" s="2">
        <v>6</v>
      </c>
      <c r="G81" s="6">
        <v>6</v>
      </c>
      <c r="H81" s="2">
        <v>50</v>
      </c>
      <c r="I81" s="2">
        <v>15</v>
      </c>
      <c r="J81" s="2">
        <v>15</v>
      </c>
      <c r="K81" s="2">
        <v>30</v>
      </c>
      <c r="L81" s="2">
        <v>30</v>
      </c>
      <c r="M81" s="2">
        <v>1</v>
      </c>
      <c r="N81" s="2">
        <v>0</v>
      </c>
      <c r="O81" s="1"/>
      <c r="P81" s="1"/>
      <c r="Q81" s="1"/>
      <c r="R81" s="7">
        <f t="shared" ref="R81:R85" si="7">(E81/D81)*100</f>
        <v>75</v>
      </c>
      <c r="S81" s="15">
        <f>(AVERAGE(H81:M81))/G81</f>
        <v>3.9166666666666665</v>
      </c>
      <c r="T81" s="8">
        <f t="shared" si="6"/>
        <v>2.9375</v>
      </c>
      <c r="U81" s="1"/>
      <c r="V81" s="1"/>
      <c r="W81" s="1"/>
      <c r="X81" s="1"/>
      <c r="Y81" s="1"/>
      <c r="Z81" s="1"/>
    </row>
    <row r="82" spans="1:26" ht="13" x14ac:dyDescent="0.15">
      <c r="A82" s="1" t="s">
        <v>10</v>
      </c>
      <c r="B82" s="2">
        <v>3</v>
      </c>
      <c r="C82" s="1" t="s">
        <v>18</v>
      </c>
      <c r="D82" s="2">
        <v>17.5</v>
      </c>
      <c r="E82" s="2">
        <v>9.5</v>
      </c>
      <c r="F82" s="2">
        <v>6</v>
      </c>
      <c r="G82" s="6">
        <v>5</v>
      </c>
      <c r="H82" s="2">
        <v>100</v>
      </c>
      <c r="I82" s="2">
        <v>100</v>
      </c>
      <c r="J82" s="2">
        <v>10</v>
      </c>
      <c r="K82" s="2">
        <v>10</v>
      </c>
      <c r="L82" s="2">
        <v>2</v>
      </c>
      <c r="M82" s="2">
        <v>0</v>
      </c>
      <c r="N82" s="2">
        <v>0</v>
      </c>
      <c r="O82" s="1"/>
      <c r="P82" s="1"/>
      <c r="Q82" s="1"/>
      <c r="R82" s="7">
        <f t="shared" si="7"/>
        <v>54.285714285714285</v>
      </c>
      <c r="S82" s="15">
        <f>(AVERAGE(H82:L82))/G82</f>
        <v>8.879999999999999</v>
      </c>
      <c r="T82" s="8">
        <f t="shared" si="6"/>
        <v>4.8205714285714283</v>
      </c>
      <c r="U82" s="1"/>
      <c r="V82" s="1"/>
      <c r="W82" s="1"/>
      <c r="X82" s="1"/>
      <c r="Y82" s="1"/>
      <c r="Z82" s="1"/>
    </row>
    <row r="83" spans="1:26" ht="13" x14ac:dyDescent="0.15">
      <c r="A83" s="11" t="s">
        <v>11</v>
      </c>
      <c r="B83" s="2">
        <v>1</v>
      </c>
      <c r="C83" s="1" t="s">
        <v>18</v>
      </c>
      <c r="D83" s="2">
        <v>15.5</v>
      </c>
      <c r="E83" s="2">
        <v>11</v>
      </c>
      <c r="F83" s="2">
        <v>5</v>
      </c>
      <c r="G83" s="6">
        <v>4</v>
      </c>
      <c r="H83" s="2">
        <v>100</v>
      </c>
      <c r="I83" s="2">
        <v>100</v>
      </c>
      <c r="J83" s="2">
        <v>60</v>
      </c>
      <c r="K83" s="2">
        <v>5</v>
      </c>
      <c r="L83" s="2">
        <v>0</v>
      </c>
      <c r="M83" s="1"/>
      <c r="N83" s="1"/>
      <c r="O83" s="1"/>
      <c r="P83" s="1"/>
      <c r="Q83" s="1"/>
      <c r="R83" s="7">
        <f t="shared" si="7"/>
        <v>70.967741935483872</v>
      </c>
      <c r="S83" s="15">
        <f t="shared" ref="S83" si="8">(AVERAGE(H83:K83))/G83</f>
        <v>16.5625</v>
      </c>
      <c r="T83" s="8">
        <f t="shared" si="6"/>
        <v>11.754032258064518</v>
      </c>
      <c r="U83" s="1"/>
      <c r="V83" s="1"/>
      <c r="W83" s="1"/>
      <c r="X83" s="1"/>
      <c r="Y83" s="1"/>
      <c r="Z83" s="1"/>
    </row>
    <row r="84" spans="1:26" ht="13" x14ac:dyDescent="0.15">
      <c r="A84" s="11" t="s">
        <v>11</v>
      </c>
      <c r="B84" s="2">
        <v>2</v>
      </c>
      <c r="C84" s="1" t="s">
        <v>18</v>
      </c>
      <c r="D84" s="2">
        <v>19</v>
      </c>
      <c r="E84" s="2">
        <v>13</v>
      </c>
      <c r="F84" s="2">
        <v>5</v>
      </c>
      <c r="G84" s="6">
        <v>3</v>
      </c>
      <c r="H84" s="2">
        <v>80</v>
      </c>
      <c r="I84" s="2">
        <v>80</v>
      </c>
      <c r="J84" s="2">
        <v>30</v>
      </c>
      <c r="K84" s="2">
        <v>1</v>
      </c>
      <c r="L84" s="2">
        <v>0</v>
      </c>
      <c r="M84" s="2">
        <v>0</v>
      </c>
      <c r="N84" s="1"/>
      <c r="O84" s="1"/>
      <c r="P84" s="1"/>
      <c r="Q84" s="1"/>
      <c r="R84" s="7">
        <f t="shared" si="7"/>
        <v>68.421052631578945</v>
      </c>
      <c r="S84" s="15">
        <f>(AVERAGE(H84:J84))/G84</f>
        <v>21.111111111111111</v>
      </c>
      <c r="T84" s="8">
        <f t="shared" si="6"/>
        <v>14.444444444444443</v>
      </c>
      <c r="U84" s="1"/>
      <c r="V84" s="1"/>
      <c r="W84" s="1"/>
      <c r="X84" s="1"/>
      <c r="Y84" s="1"/>
      <c r="Z84" s="1"/>
    </row>
    <row r="85" spans="1:26" ht="13" x14ac:dyDescent="0.15">
      <c r="A85" s="11" t="s">
        <v>11</v>
      </c>
      <c r="B85" s="2">
        <v>3</v>
      </c>
      <c r="C85" s="1" t="s">
        <v>18</v>
      </c>
      <c r="D85" s="2">
        <v>24.5</v>
      </c>
      <c r="E85" s="2">
        <v>15</v>
      </c>
      <c r="F85" s="2">
        <v>6</v>
      </c>
      <c r="G85" s="6">
        <v>5</v>
      </c>
      <c r="H85" s="2">
        <v>70</v>
      </c>
      <c r="I85" s="2">
        <v>90</v>
      </c>
      <c r="J85" s="2">
        <v>80</v>
      </c>
      <c r="K85" s="2">
        <v>5</v>
      </c>
      <c r="L85" s="2">
        <v>1</v>
      </c>
      <c r="M85" s="2">
        <v>0</v>
      </c>
      <c r="N85" s="2">
        <v>0</v>
      </c>
      <c r="O85" s="1"/>
      <c r="P85" s="1"/>
      <c r="Q85" s="1"/>
      <c r="R85" s="7">
        <f t="shared" si="7"/>
        <v>61.224489795918366</v>
      </c>
      <c r="S85" s="15">
        <f>(AVERAGE(H85:L85))/G85</f>
        <v>9.84</v>
      </c>
      <c r="T85" s="8">
        <f t="shared" si="6"/>
        <v>6.0244897959183676</v>
      </c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</sheetData>
  <mergeCells count="1">
    <mergeCell ref="H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4"/>
  <sheetViews>
    <sheetView topLeftCell="A50" workbookViewId="0">
      <pane xSplit="1" topLeftCell="O1" activePane="topRight" state="frozen"/>
      <selection pane="topRight" activeCell="S74" sqref="S74:T85"/>
    </sheetView>
  </sheetViews>
  <sheetFormatPr baseColWidth="10" defaultColWidth="12.6640625" defaultRowHeight="15.75" customHeight="1" x14ac:dyDescent="0.15"/>
  <cols>
    <col min="7" max="7" width="15.16406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1"/>
      <c r="G2" s="1"/>
      <c r="H2" s="12" t="s">
        <v>34</v>
      </c>
      <c r="I2" s="12"/>
      <c r="J2" s="12"/>
      <c r="K2" s="12"/>
      <c r="L2" s="12"/>
      <c r="M2" s="12"/>
      <c r="N2" s="12"/>
      <c r="O2" s="12"/>
      <c r="P2" s="12"/>
      <c r="Q2" s="12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25</v>
      </c>
      <c r="G3" s="5" t="s">
        <v>35</v>
      </c>
      <c r="H3" s="2">
        <v>1</v>
      </c>
      <c r="I3" s="2">
        <v>2</v>
      </c>
      <c r="J3" s="2">
        <v>3</v>
      </c>
      <c r="K3" s="2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2" t="s">
        <v>27</v>
      </c>
      <c r="S3" s="2" t="s">
        <v>28</v>
      </c>
      <c r="T3" s="2" t="s">
        <v>31</v>
      </c>
      <c r="U3" s="1"/>
      <c r="V3" s="1"/>
      <c r="W3" s="1"/>
      <c r="X3" s="1"/>
      <c r="Y3" s="1"/>
      <c r="Z3" s="1"/>
    </row>
    <row r="4" spans="1:26" ht="15.75" customHeight="1" x14ac:dyDescent="0.15">
      <c r="A4" s="1" t="s">
        <v>7</v>
      </c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 t="s">
        <v>7</v>
      </c>
      <c r="B5" s="2">
        <v>1</v>
      </c>
      <c r="C5" s="1" t="s">
        <v>8</v>
      </c>
      <c r="D5" s="2">
        <v>15</v>
      </c>
      <c r="E5" s="2">
        <v>13</v>
      </c>
      <c r="F5" s="2">
        <v>7</v>
      </c>
      <c r="G5" s="6">
        <v>5</v>
      </c>
      <c r="H5" s="2">
        <v>100</v>
      </c>
      <c r="I5" s="2">
        <v>100</v>
      </c>
      <c r="J5" s="2">
        <v>100</v>
      </c>
      <c r="K5" s="2">
        <v>1</v>
      </c>
      <c r="L5" s="2">
        <v>0</v>
      </c>
      <c r="M5" s="2">
        <v>0</v>
      </c>
      <c r="N5" s="1"/>
      <c r="O5" s="1"/>
      <c r="P5" s="1"/>
      <c r="Q5" s="1"/>
      <c r="R5" s="7">
        <f>(E5/D5)*100</f>
        <v>86.666666666666671</v>
      </c>
      <c r="S5" s="15">
        <f>(AVERAGE(H5:L5))/G5</f>
        <v>12.040000000000001</v>
      </c>
      <c r="T5" s="8">
        <f>(R5*S5)/100</f>
        <v>10.434666666666667</v>
      </c>
      <c r="U5" s="1"/>
      <c r="V5" s="1"/>
      <c r="W5" s="1"/>
      <c r="X5" s="1"/>
      <c r="Y5" s="1"/>
      <c r="Z5" s="1"/>
    </row>
    <row r="6" spans="1:26" ht="15.75" customHeight="1" x14ac:dyDescent="0.15">
      <c r="A6" s="1" t="s">
        <v>7</v>
      </c>
      <c r="B6" s="2">
        <v>2</v>
      </c>
      <c r="C6" s="1" t="s">
        <v>8</v>
      </c>
      <c r="D6" s="2">
        <v>20</v>
      </c>
      <c r="E6" s="2">
        <v>16</v>
      </c>
      <c r="F6" s="2">
        <v>8</v>
      </c>
      <c r="G6" s="6">
        <v>6</v>
      </c>
      <c r="H6" s="2">
        <v>100</v>
      </c>
      <c r="I6" s="2">
        <v>100</v>
      </c>
      <c r="J6" s="2">
        <v>100</v>
      </c>
      <c r="K6" s="2">
        <v>100</v>
      </c>
      <c r="L6" s="2">
        <v>60</v>
      </c>
      <c r="M6" s="2">
        <v>2</v>
      </c>
      <c r="N6" s="2">
        <v>2</v>
      </c>
      <c r="O6" s="2">
        <v>0</v>
      </c>
      <c r="P6" s="2">
        <v>0</v>
      </c>
      <c r="Q6" s="1"/>
      <c r="R6" s="7">
        <f t="shared" ref="R6:R69" si="0">(E6/D6)*100</f>
        <v>80</v>
      </c>
      <c r="S6" s="15">
        <f>(AVERAGE(H6:M6))/G6</f>
        <v>12.833333333333334</v>
      </c>
      <c r="T6" s="8">
        <f t="shared" ref="T6:T18" si="1">(R6*S6)/100</f>
        <v>10.266666666666667</v>
      </c>
      <c r="U6" s="1"/>
      <c r="V6" s="1"/>
      <c r="W6" s="1"/>
      <c r="X6" s="1"/>
      <c r="Y6" s="1"/>
      <c r="Z6" s="1"/>
    </row>
    <row r="7" spans="1:26" ht="15.75" customHeight="1" x14ac:dyDescent="0.15">
      <c r="A7" s="1" t="s">
        <v>7</v>
      </c>
      <c r="B7" s="2">
        <v>3</v>
      </c>
      <c r="C7" s="1" t="s">
        <v>8</v>
      </c>
      <c r="D7" s="2">
        <v>18</v>
      </c>
      <c r="E7" s="2">
        <v>15</v>
      </c>
      <c r="F7" s="2">
        <v>7</v>
      </c>
      <c r="G7" s="6">
        <v>5</v>
      </c>
      <c r="H7" s="2">
        <v>100</v>
      </c>
      <c r="I7" s="2">
        <v>100</v>
      </c>
      <c r="J7" s="2">
        <v>100</v>
      </c>
      <c r="K7" s="2">
        <v>100</v>
      </c>
      <c r="L7" s="2">
        <v>2</v>
      </c>
      <c r="M7" s="2">
        <v>1</v>
      </c>
      <c r="N7" s="2">
        <v>0</v>
      </c>
      <c r="O7" s="2">
        <v>0</v>
      </c>
      <c r="P7" s="1"/>
      <c r="Q7" s="1"/>
      <c r="R7" s="7">
        <f t="shared" si="0"/>
        <v>83.333333333333343</v>
      </c>
      <c r="S7" s="15">
        <f>(AVERAGE(H7:L7))/G7</f>
        <v>16.080000000000002</v>
      </c>
      <c r="T7" s="8">
        <f t="shared" si="1"/>
        <v>13.400000000000002</v>
      </c>
      <c r="U7" s="1"/>
      <c r="V7" s="1"/>
      <c r="W7" s="1"/>
      <c r="X7" s="1"/>
      <c r="Y7" s="1"/>
      <c r="Z7" s="1"/>
    </row>
    <row r="8" spans="1:26" ht="15.75" customHeight="1" x14ac:dyDescent="0.15">
      <c r="A8" s="1" t="s">
        <v>9</v>
      </c>
      <c r="B8" s="2">
        <v>1</v>
      </c>
      <c r="C8" s="1" t="s">
        <v>8</v>
      </c>
      <c r="D8" s="2">
        <v>26</v>
      </c>
      <c r="E8" s="2">
        <v>15</v>
      </c>
      <c r="F8" s="2">
        <v>7</v>
      </c>
      <c r="G8" s="6">
        <v>6</v>
      </c>
      <c r="H8" s="2">
        <v>100</v>
      </c>
      <c r="I8" s="2">
        <v>100</v>
      </c>
      <c r="J8" s="2">
        <v>100</v>
      </c>
      <c r="K8" s="2">
        <v>100</v>
      </c>
      <c r="L8" s="2">
        <v>100</v>
      </c>
      <c r="M8" s="2">
        <v>5</v>
      </c>
      <c r="N8" s="2">
        <v>0</v>
      </c>
      <c r="O8" s="1"/>
      <c r="P8" s="1"/>
      <c r="Q8" s="1"/>
      <c r="R8" s="7">
        <f t="shared" si="0"/>
        <v>57.692307692307686</v>
      </c>
      <c r="S8" s="15">
        <f>(AVERAGE(H8:M8))/G8</f>
        <v>14.027777777777779</v>
      </c>
      <c r="T8" s="8">
        <f t="shared" si="1"/>
        <v>8.0929487179487172</v>
      </c>
      <c r="U8" s="1"/>
      <c r="V8" s="1"/>
      <c r="W8" s="1"/>
      <c r="X8" s="1"/>
      <c r="Y8" s="1"/>
      <c r="Z8" s="1"/>
    </row>
    <row r="9" spans="1:26" ht="15.75" customHeight="1" x14ac:dyDescent="0.15">
      <c r="A9" s="1" t="s">
        <v>9</v>
      </c>
      <c r="B9" s="2">
        <v>2</v>
      </c>
      <c r="C9" s="1" t="s">
        <v>8</v>
      </c>
      <c r="D9" s="2">
        <v>29</v>
      </c>
      <c r="E9" s="2">
        <v>18</v>
      </c>
      <c r="F9" s="2">
        <v>7</v>
      </c>
      <c r="G9" s="6">
        <v>6</v>
      </c>
      <c r="H9" s="2">
        <v>100</v>
      </c>
      <c r="I9" s="2">
        <v>100</v>
      </c>
      <c r="J9" s="2">
        <v>100</v>
      </c>
      <c r="K9" s="2">
        <v>100</v>
      </c>
      <c r="L9" s="2">
        <v>5</v>
      </c>
      <c r="M9" s="2">
        <v>1</v>
      </c>
      <c r="N9" s="2">
        <v>0</v>
      </c>
      <c r="O9" s="2">
        <v>0</v>
      </c>
      <c r="P9" s="1"/>
      <c r="Q9" s="1"/>
      <c r="R9" s="7">
        <f t="shared" si="0"/>
        <v>62.068965517241381</v>
      </c>
      <c r="S9" s="15">
        <f>(AVERAGE(H9:M9))/G9</f>
        <v>11.277777777777779</v>
      </c>
      <c r="T9" s="8">
        <f t="shared" si="1"/>
        <v>7.0000000000000009</v>
      </c>
      <c r="U9" s="1"/>
      <c r="V9" s="1"/>
      <c r="W9" s="1"/>
      <c r="X9" s="1"/>
      <c r="Y9" s="1"/>
      <c r="Z9" s="1"/>
    </row>
    <row r="10" spans="1:26" ht="15.75" customHeight="1" x14ac:dyDescent="0.15">
      <c r="A10" s="1" t="s">
        <v>9</v>
      </c>
      <c r="B10" s="2">
        <v>3</v>
      </c>
      <c r="C10" s="1" t="s">
        <v>8</v>
      </c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5"/>
      <c r="T10" s="8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  <c r="S11" s="15"/>
      <c r="T11" s="8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7"/>
      <c r="S12" s="15"/>
      <c r="T12" s="8"/>
      <c r="U12" s="1"/>
      <c r="V12" s="1"/>
      <c r="W12" s="1"/>
      <c r="X12" s="1"/>
      <c r="Y12" s="1"/>
      <c r="Z12" s="1"/>
    </row>
    <row r="13" spans="1:26" ht="15.75" customHeight="1" x14ac:dyDescent="0.15">
      <c r="A13" s="1" t="s">
        <v>10</v>
      </c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7"/>
      <c r="S13" s="15"/>
      <c r="T13" s="8"/>
      <c r="U13" s="1"/>
      <c r="V13" s="1"/>
      <c r="W13" s="1"/>
      <c r="X13" s="1"/>
      <c r="Y13" s="1"/>
      <c r="Z13" s="1"/>
    </row>
    <row r="14" spans="1:26" ht="15.75" customHeight="1" x14ac:dyDescent="0.15">
      <c r="A14" s="1" t="s">
        <v>10</v>
      </c>
      <c r="B14" s="2">
        <v>1</v>
      </c>
      <c r="C14" s="1" t="s">
        <v>8</v>
      </c>
      <c r="D14" s="2">
        <v>16</v>
      </c>
      <c r="E14" s="2">
        <v>12</v>
      </c>
      <c r="F14" s="2">
        <v>9</v>
      </c>
      <c r="G14" s="6">
        <v>7</v>
      </c>
      <c r="H14" s="2">
        <v>100</v>
      </c>
      <c r="I14" s="2">
        <v>100</v>
      </c>
      <c r="J14" s="2">
        <v>100</v>
      </c>
      <c r="K14" s="2">
        <v>100</v>
      </c>
      <c r="L14" s="2">
        <v>40</v>
      </c>
      <c r="M14" s="2">
        <v>5</v>
      </c>
      <c r="N14" s="2">
        <v>0</v>
      </c>
      <c r="O14" s="2">
        <v>0</v>
      </c>
      <c r="P14" s="2">
        <v>0</v>
      </c>
      <c r="Q14" s="1"/>
      <c r="R14" s="7">
        <f t="shared" si="0"/>
        <v>75</v>
      </c>
      <c r="S14" s="15">
        <f>(AVERAGE(H14:N14))/G14</f>
        <v>9.0816326530612237</v>
      </c>
      <c r="T14" s="8">
        <f>(R14*S14)/100</f>
        <v>6.8112244897959178</v>
      </c>
      <c r="U14" s="1"/>
      <c r="V14" s="1"/>
      <c r="W14" s="1"/>
      <c r="X14" s="1"/>
      <c r="Y14" s="1"/>
      <c r="Z14" s="1"/>
    </row>
    <row r="15" spans="1:26" ht="15.75" customHeight="1" x14ac:dyDescent="0.15">
      <c r="A15" s="1" t="s">
        <v>10</v>
      </c>
      <c r="B15" s="2">
        <v>2</v>
      </c>
      <c r="C15" s="1" t="s">
        <v>8</v>
      </c>
      <c r="D15" s="2">
        <v>15</v>
      </c>
      <c r="E15" s="2">
        <v>11</v>
      </c>
      <c r="F15" s="2">
        <v>9</v>
      </c>
      <c r="G15" s="6">
        <v>6</v>
      </c>
      <c r="H15" s="2">
        <v>100</v>
      </c>
      <c r="I15" s="2">
        <v>100</v>
      </c>
      <c r="J15" s="2">
        <v>80</v>
      </c>
      <c r="K15" s="2">
        <v>40</v>
      </c>
      <c r="L15" s="2">
        <v>30</v>
      </c>
      <c r="M15" s="2">
        <v>5</v>
      </c>
      <c r="N15" s="2">
        <v>0</v>
      </c>
      <c r="O15" s="2">
        <v>0</v>
      </c>
      <c r="P15" s="1"/>
      <c r="Q15" s="1"/>
      <c r="R15" s="7">
        <f t="shared" si="0"/>
        <v>73.333333333333329</v>
      </c>
      <c r="S15" s="15">
        <f>(AVERAGE(H15:M15))/G15</f>
        <v>9.8611111111111107</v>
      </c>
      <c r="T15" s="8">
        <f t="shared" si="1"/>
        <v>7.2314814814814801</v>
      </c>
      <c r="U15" s="1"/>
      <c r="V15" s="1"/>
      <c r="W15" s="1"/>
      <c r="X15" s="1"/>
      <c r="Y15" s="1"/>
      <c r="Z15" s="1"/>
    </row>
    <row r="16" spans="1:26" ht="15.75" customHeight="1" x14ac:dyDescent="0.15">
      <c r="A16" s="1" t="s">
        <v>10</v>
      </c>
      <c r="B16" s="2">
        <v>3</v>
      </c>
      <c r="C16" s="1" t="s">
        <v>8</v>
      </c>
      <c r="D16" s="2">
        <v>19</v>
      </c>
      <c r="E16" s="2">
        <v>15</v>
      </c>
      <c r="F16" s="2">
        <v>8</v>
      </c>
      <c r="G16" s="6">
        <v>6</v>
      </c>
      <c r="H16" s="2">
        <v>100</v>
      </c>
      <c r="I16" s="2">
        <v>100</v>
      </c>
      <c r="J16" s="2">
        <v>100</v>
      </c>
      <c r="K16" s="2">
        <v>100</v>
      </c>
      <c r="L16" s="2">
        <v>60</v>
      </c>
      <c r="M16" s="2">
        <v>20</v>
      </c>
      <c r="N16" s="2">
        <v>5</v>
      </c>
      <c r="O16" s="2">
        <v>2</v>
      </c>
      <c r="P16" s="2">
        <v>0</v>
      </c>
      <c r="Q16" s="2">
        <v>0</v>
      </c>
      <c r="R16" s="7">
        <f t="shared" si="0"/>
        <v>78.94736842105263</v>
      </c>
      <c r="S16" s="15">
        <f>(AVERAGE(H16:M16))/G16</f>
        <v>13.333333333333334</v>
      </c>
      <c r="T16" s="8">
        <f t="shared" si="1"/>
        <v>10.526315789473685</v>
      </c>
      <c r="U16" s="1"/>
      <c r="V16" s="1"/>
      <c r="W16" s="1"/>
      <c r="X16" s="1"/>
      <c r="Y16" s="1"/>
      <c r="Z16" s="1"/>
    </row>
    <row r="17" spans="1:26" ht="15.75" customHeight="1" x14ac:dyDescent="0.15">
      <c r="A17" s="11" t="s">
        <v>11</v>
      </c>
      <c r="B17" s="2">
        <v>1</v>
      </c>
      <c r="C17" s="1" t="s">
        <v>8</v>
      </c>
      <c r="D17" s="2">
        <v>25</v>
      </c>
      <c r="E17" s="2">
        <v>14.5</v>
      </c>
      <c r="F17" s="2">
        <v>7</v>
      </c>
      <c r="G17" s="6">
        <v>6</v>
      </c>
      <c r="H17" s="2">
        <v>100</v>
      </c>
      <c r="I17" s="2">
        <v>100</v>
      </c>
      <c r="J17" s="2">
        <v>100</v>
      </c>
      <c r="K17" s="2">
        <v>100</v>
      </c>
      <c r="L17" s="2">
        <v>5</v>
      </c>
      <c r="M17" s="2">
        <v>5</v>
      </c>
      <c r="N17" s="2">
        <v>0</v>
      </c>
      <c r="O17" s="2">
        <v>0</v>
      </c>
      <c r="P17" s="1"/>
      <c r="Q17" s="1"/>
      <c r="R17" s="7">
        <f t="shared" si="0"/>
        <v>57.999999999999993</v>
      </c>
      <c r="S17" s="15">
        <f>(AVERAGE(H17:M17))/G17</f>
        <v>11.388888888888888</v>
      </c>
      <c r="T17" s="8">
        <f t="shared" si="1"/>
        <v>6.6055555555555543</v>
      </c>
      <c r="U17" s="1"/>
      <c r="V17" s="1"/>
      <c r="W17" s="1"/>
      <c r="X17" s="1"/>
      <c r="Y17" s="1"/>
      <c r="Z17" s="1"/>
    </row>
    <row r="18" spans="1:26" ht="15.75" customHeight="1" x14ac:dyDescent="0.15">
      <c r="A18" s="11" t="s">
        <v>11</v>
      </c>
      <c r="B18" s="2">
        <v>2</v>
      </c>
      <c r="C18" s="1" t="s">
        <v>8</v>
      </c>
      <c r="D18" s="2">
        <v>24</v>
      </c>
      <c r="E18" s="2">
        <v>13</v>
      </c>
      <c r="F18" s="2">
        <v>7</v>
      </c>
      <c r="G18" s="6">
        <v>5</v>
      </c>
      <c r="H18" s="2">
        <v>100</v>
      </c>
      <c r="I18" s="2">
        <v>100</v>
      </c>
      <c r="J18" s="2">
        <v>60</v>
      </c>
      <c r="K18" s="2">
        <v>40</v>
      </c>
      <c r="L18" s="2">
        <v>2</v>
      </c>
      <c r="M18" s="2">
        <v>0</v>
      </c>
      <c r="N18" s="2">
        <v>0</v>
      </c>
      <c r="O18" s="2">
        <v>0</v>
      </c>
      <c r="P18" s="1"/>
      <c r="Q18" s="1"/>
      <c r="R18" s="7">
        <f t="shared" si="0"/>
        <v>54.166666666666664</v>
      </c>
      <c r="S18" s="15">
        <f>(AVERAGE(H18:L18))/G18</f>
        <v>12.08</v>
      </c>
      <c r="T18" s="8">
        <f t="shared" si="1"/>
        <v>6.543333333333333</v>
      </c>
      <c r="U18" s="1"/>
      <c r="V18" s="1"/>
      <c r="W18" s="1"/>
      <c r="X18" s="1"/>
      <c r="Y18" s="1"/>
      <c r="Z18" s="1"/>
    </row>
    <row r="19" spans="1:26" ht="15.75" customHeight="1" x14ac:dyDescent="0.15">
      <c r="A19" s="11" t="s">
        <v>11</v>
      </c>
      <c r="B19" s="2">
        <v>3</v>
      </c>
      <c r="C19" s="1" t="s">
        <v>8</v>
      </c>
      <c r="D19" s="2">
        <v>37</v>
      </c>
      <c r="E19" s="2">
        <v>21</v>
      </c>
      <c r="F19" s="2">
        <v>7</v>
      </c>
      <c r="G19" s="6">
        <v>6</v>
      </c>
      <c r="H19" s="2">
        <v>100</v>
      </c>
      <c r="I19" s="2">
        <v>80</v>
      </c>
      <c r="J19" s="2">
        <v>10</v>
      </c>
      <c r="K19" s="2">
        <v>10</v>
      </c>
      <c r="L19" s="2">
        <v>5</v>
      </c>
      <c r="M19" s="2">
        <v>0</v>
      </c>
      <c r="N19" s="2">
        <v>0</v>
      </c>
      <c r="O19" s="2">
        <v>0</v>
      </c>
      <c r="P19" s="1"/>
      <c r="Q19" s="1"/>
      <c r="R19" s="7">
        <f t="shared" si="0"/>
        <v>56.756756756756758</v>
      </c>
      <c r="S19" s="15">
        <f>(AVERAGE(H19:M19))/G19</f>
        <v>5.6944444444444438</v>
      </c>
      <c r="T19" s="8">
        <f>(R19*S19)/100</f>
        <v>3.2319819819819817</v>
      </c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5"/>
      <c r="T20" s="8"/>
      <c r="U20" s="1"/>
      <c r="V20" s="1"/>
      <c r="W20" s="1"/>
      <c r="X20" s="1"/>
      <c r="Y20" s="1"/>
      <c r="Z20" s="1"/>
    </row>
    <row r="21" spans="1:26" ht="15.75" customHeight="1" x14ac:dyDescent="0.15">
      <c r="A21" s="1" t="s">
        <v>12</v>
      </c>
      <c r="B21" s="2">
        <v>1</v>
      </c>
      <c r="C21" s="1" t="s">
        <v>13</v>
      </c>
      <c r="D21" s="2">
        <v>17.5</v>
      </c>
      <c r="E21" s="1"/>
      <c r="F21" s="1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5"/>
      <c r="T21" s="8"/>
      <c r="U21" s="1"/>
      <c r="V21" s="1"/>
      <c r="W21" s="1"/>
      <c r="X21" s="1"/>
      <c r="Y21" s="1"/>
      <c r="Z21" s="1"/>
    </row>
    <row r="22" spans="1:26" ht="15.75" customHeight="1" x14ac:dyDescent="0.15">
      <c r="A22" s="1" t="s">
        <v>12</v>
      </c>
      <c r="B22" s="2">
        <v>2</v>
      </c>
      <c r="C22" s="1" t="s">
        <v>13</v>
      </c>
      <c r="D22" s="2">
        <v>12</v>
      </c>
      <c r="E22" s="1"/>
      <c r="F22" s="1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5"/>
      <c r="T22" s="8"/>
      <c r="U22" s="1"/>
      <c r="V22" s="1"/>
      <c r="W22" s="1"/>
      <c r="X22" s="1"/>
      <c r="Y22" s="1"/>
      <c r="Z22" s="1"/>
    </row>
    <row r="23" spans="1:26" ht="15.75" customHeight="1" x14ac:dyDescent="0.15">
      <c r="A23" s="1" t="s">
        <v>12</v>
      </c>
      <c r="B23" s="2">
        <v>3</v>
      </c>
      <c r="C23" s="1" t="s">
        <v>13</v>
      </c>
      <c r="D23" s="1"/>
      <c r="E23" s="1"/>
      <c r="F23" s="1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7"/>
      <c r="S23" s="15"/>
      <c r="T23" s="8"/>
      <c r="U23" s="1"/>
      <c r="V23" s="1"/>
      <c r="W23" s="1"/>
      <c r="X23" s="1"/>
      <c r="Y23" s="1"/>
      <c r="Z23" s="1"/>
    </row>
    <row r="24" spans="1:26" ht="15.75" customHeight="1" x14ac:dyDescent="0.15">
      <c r="A24" s="1" t="s">
        <v>14</v>
      </c>
      <c r="B24" s="2">
        <v>1</v>
      </c>
      <c r="C24" s="1" t="s">
        <v>13</v>
      </c>
      <c r="D24" s="2">
        <v>34</v>
      </c>
      <c r="E24" s="1"/>
      <c r="F24" s="1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7"/>
      <c r="S24" s="15"/>
      <c r="T24" s="8"/>
      <c r="U24" s="1"/>
      <c r="V24" s="1"/>
      <c r="W24" s="1"/>
      <c r="X24" s="1"/>
      <c r="Y24" s="1"/>
      <c r="Z24" s="1"/>
    </row>
    <row r="25" spans="1:26" ht="15.75" customHeight="1" x14ac:dyDescent="0.15">
      <c r="A25" s="1" t="s">
        <v>14</v>
      </c>
      <c r="B25" s="2">
        <v>2</v>
      </c>
      <c r="C25" s="1" t="s">
        <v>13</v>
      </c>
      <c r="D25" s="2">
        <v>27</v>
      </c>
      <c r="E25" s="1"/>
      <c r="F25" s="1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5"/>
      <c r="T25" s="8"/>
      <c r="U25" s="1"/>
      <c r="V25" s="1"/>
      <c r="W25" s="1"/>
      <c r="X25" s="1"/>
      <c r="Y25" s="1"/>
      <c r="Z25" s="1"/>
    </row>
    <row r="26" spans="1:26" ht="15.75" customHeight="1" x14ac:dyDescent="0.15">
      <c r="A26" s="1" t="s">
        <v>14</v>
      </c>
      <c r="B26" s="2">
        <v>3</v>
      </c>
      <c r="C26" s="1" t="s">
        <v>13</v>
      </c>
      <c r="D26" s="2">
        <v>32</v>
      </c>
      <c r="E26" s="1"/>
      <c r="F26" s="1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7"/>
      <c r="S26" s="15"/>
      <c r="T26" s="8"/>
      <c r="U26" s="1"/>
      <c r="V26" s="1"/>
      <c r="W26" s="1"/>
      <c r="X26" s="1"/>
      <c r="Y26" s="1"/>
      <c r="Z26" s="1"/>
    </row>
    <row r="27" spans="1:26" ht="15.75" customHeight="1" x14ac:dyDescent="0.15">
      <c r="A27" s="1" t="s">
        <v>10</v>
      </c>
      <c r="B27" s="2">
        <v>1</v>
      </c>
      <c r="C27" s="1" t="s">
        <v>13</v>
      </c>
      <c r="D27" s="2">
        <v>20</v>
      </c>
      <c r="E27" s="1"/>
      <c r="F27" s="1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5"/>
      <c r="T27" s="8"/>
      <c r="U27" s="1"/>
      <c r="V27" s="1"/>
      <c r="W27" s="1"/>
      <c r="X27" s="1"/>
      <c r="Y27" s="1"/>
      <c r="Z27" s="1"/>
    </row>
    <row r="28" spans="1:26" ht="15.75" customHeight="1" x14ac:dyDescent="0.15">
      <c r="A28" s="1" t="s">
        <v>10</v>
      </c>
      <c r="B28" s="2">
        <v>2</v>
      </c>
      <c r="C28" s="1" t="s">
        <v>13</v>
      </c>
      <c r="D28" s="2">
        <v>19</v>
      </c>
      <c r="E28" s="1"/>
      <c r="F28" s="1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7"/>
      <c r="S28" s="15"/>
      <c r="T28" s="8"/>
      <c r="U28" s="1"/>
      <c r="V28" s="1"/>
      <c r="W28" s="1"/>
      <c r="X28" s="1"/>
      <c r="Y28" s="1"/>
      <c r="Z28" s="1"/>
    </row>
    <row r="29" spans="1:26" ht="15.75" customHeight="1" x14ac:dyDescent="0.15">
      <c r="A29" s="1" t="s">
        <v>10</v>
      </c>
      <c r="B29" s="2">
        <v>3</v>
      </c>
      <c r="C29" s="1" t="s">
        <v>13</v>
      </c>
      <c r="D29" s="2">
        <v>21</v>
      </c>
      <c r="E29" s="1"/>
      <c r="F29" s="1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7"/>
      <c r="S29" s="15"/>
      <c r="T29" s="8"/>
      <c r="U29" s="1"/>
      <c r="V29" s="1"/>
      <c r="W29" s="1"/>
      <c r="X29" s="1"/>
      <c r="Y29" s="1"/>
      <c r="Z29" s="1"/>
    </row>
    <row r="30" spans="1:26" ht="15.75" customHeight="1" x14ac:dyDescent="0.15">
      <c r="A30" s="11" t="s">
        <v>11</v>
      </c>
      <c r="B30" s="2">
        <v>1</v>
      </c>
      <c r="C30" s="1" t="s">
        <v>13</v>
      </c>
      <c r="D30" s="2">
        <v>22</v>
      </c>
      <c r="E30" s="1"/>
      <c r="F30" s="1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5"/>
      <c r="T30" s="8"/>
      <c r="U30" s="1"/>
      <c r="V30" s="1"/>
      <c r="W30" s="1"/>
      <c r="X30" s="1"/>
      <c r="Y30" s="1"/>
      <c r="Z30" s="1"/>
    </row>
    <row r="31" spans="1:26" ht="15.75" customHeight="1" x14ac:dyDescent="0.15">
      <c r="A31" s="11" t="s">
        <v>11</v>
      </c>
      <c r="B31" s="2">
        <v>2</v>
      </c>
      <c r="C31" s="1" t="s">
        <v>13</v>
      </c>
      <c r="D31" s="2">
        <v>25</v>
      </c>
      <c r="E31" s="1"/>
      <c r="F31" s="1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5"/>
      <c r="T31" s="8"/>
      <c r="U31" s="1"/>
      <c r="V31" s="1"/>
      <c r="W31" s="1"/>
      <c r="X31" s="1"/>
      <c r="Y31" s="1"/>
      <c r="Z31" s="1"/>
    </row>
    <row r="32" spans="1:26" ht="15.75" customHeight="1" x14ac:dyDescent="0.15">
      <c r="A32" s="11" t="s">
        <v>11</v>
      </c>
      <c r="B32" s="2">
        <v>3</v>
      </c>
      <c r="C32" s="1" t="s">
        <v>13</v>
      </c>
      <c r="D32" s="2">
        <v>17.5</v>
      </c>
      <c r="E32" s="1"/>
      <c r="F32" s="1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7"/>
      <c r="S32" s="15"/>
      <c r="T32" s="8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7"/>
      <c r="S33" s="15"/>
      <c r="T33" s="8"/>
      <c r="U33" s="1"/>
      <c r="V33" s="1"/>
      <c r="W33" s="1"/>
      <c r="X33" s="1"/>
      <c r="Y33" s="1"/>
      <c r="Z33" s="1"/>
    </row>
    <row r="34" spans="1:26" ht="15.75" customHeight="1" x14ac:dyDescent="0.15">
      <c r="A34" s="1" t="s">
        <v>12</v>
      </c>
      <c r="B34" s="2">
        <v>1</v>
      </c>
      <c r="C34" s="1" t="s">
        <v>15</v>
      </c>
      <c r="D34" s="2">
        <v>18</v>
      </c>
      <c r="E34" s="2">
        <v>12</v>
      </c>
      <c r="F34" s="2">
        <v>5</v>
      </c>
      <c r="G34" s="6">
        <v>4</v>
      </c>
      <c r="H34" s="2">
        <v>100</v>
      </c>
      <c r="I34" s="2">
        <v>100</v>
      </c>
      <c r="J34" s="2">
        <v>60</v>
      </c>
      <c r="K34" s="2">
        <v>5</v>
      </c>
      <c r="L34" s="2">
        <v>0</v>
      </c>
      <c r="M34" s="2">
        <v>0</v>
      </c>
      <c r="N34" s="1"/>
      <c r="O34" s="1"/>
      <c r="P34" s="1"/>
      <c r="Q34" s="1"/>
      <c r="R34" s="7">
        <f t="shared" si="0"/>
        <v>66.666666666666657</v>
      </c>
      <c r="S34" s="15">
        <f>(AVERAGE(H34:K34))/G34</f>
        <v>16.5625</v>
      </c>
      <c r="T34" s="8">
        <f>(R34*S34)/100</f>
        <v>11.041666666666664</v>
      </c>
      <c r="U34" s="1"/>
      <c r="V34" s="1"/>
      <c r="W34" s="1"/>
      <c r="X34" s="1"/>
      <c r="Y34" s="1"/>
      <c r="Z34" s="1"/>
    </row>
    <row r="35" spans="1:26" ht="15.75" customHeight="1" x14ac:dyDescent="0.15">
      <c r="A35" s="1" t="s">
        <v>12</v>
      </c>
      <c r="B35" s="2">
        <v>2</v>
      </c>
      <c r="C35" s="1" t="s">
        <v>15</v>
      </c>
      <c r="D35" s="2">
        <v>23.5</v>
      </c>
      <c r="E35" s="2">
        <v>18.5</v>
      </c>
      <c r="F35" s="2">
        <v>7</v>
      </c>
      <c r="G35" s="6">
        <v>6</v>
      </c>
      <c r="H35" s="2">
        <v>100</v>
      </c>
      <c r="I35" s="2">
        <v>100</v>
      </c>
      <c r="J35" s="2">
        <v>100</v>
      </c>
      <c r="K35" s="2">
        <v>50</v>
      </c>
      <c r="L35" s="2">
        <v>20</v>
      </c>
      <c r="M35" s="2">
        <v>5</v>
      </c>
      <c r="N35" s="2">
        <v>0</v>
      </c>
      <c r="O35" s="2">
        <v>0</v>
      </c>
      <c r="P35" s="1"/>
      <c r="Q35" s="1"/>
      <c r="R35" s="7">
        <f t="shared" si="0"/>
        <v>78.723404255319153</v>
      </c>
      <c r="S35" s="15">
        <f>(AVERAGE(H35:M35))/G35</f>
        <v>10.416666666666666</v>
      </c>
      <c r="T35" s="8">
        <f t="shared" ref="T35:T37" si="2">(R35*S35)/100</f>
        <v>8.2003546099290787</v>
      </c>
      <c r="U35" s="1"/>
      <c r="V35" s="1"/>
      <c r="W35" s="1"/>
      <c r="X35" s="1"/>
      <c r="Y35" s="1"/>
      <c r="Z35" s="1"/>
    </row>
    <row r="36" spans="1:26" ht="15.75" customHeight="1" x14ac:dyDescent="0.15">
      <c r="A36" s="1" t="s">
        <v>12</v>
      </c>
      <c r="B36" s="2">
        <v>3</v>
      </c>
      <c r="C36" s="1" t="s">
        <v>15</v>
      </c>
      <c r="D36" s="2">
        <v>13</v>
      </c>
      <c r="E36" s="2">
        <v>11</v>
      </c>
      <c r="F36" s="2">
        <v>5</v>
      </c>
      <c r="G36" s="6">
        <v>4</v>
      </c>
      <c r="H36" s="2">
        <v>30</v>
      </c>
      <c r="I36" s="2">
        <v>100</v>
      </c>
      <c r="J36" s="2">
        <v>100</v>
      </c>
      <c r="K36" s="2">
        <v>20</v>
      </c>
      <c r="L36" s="2">
        <v>0</v>
      </c>
      <c r="M36" s="2">
        <v>0</v>
      </c>
      <c r="N36" s="1"/>
      <c r="O36" s="1"/>
      <c r="P36" s="1"/>
      <c r="Q36" s="1"/>
      <c r="R36" s="7">
        <f>(E36/D36)*100</f>
        <v>84.615384615384613</v>
      </c>
      <c r="S36" s="15">
        <f t="shared" ref="S36:S47" si="3">(AVERAGE(H36:K36))/G36</f>
        <v>15.625</v>
      </c>
      <c r="T36" s="8">
        <f t="shared" si="2"/>
        <v>13.221153846153845</v>
      </c>
      <c r="U36" s="1"/>
      <c r="V36" s="1"/>
      <c r="W36" s="1"/>
      <c r="X36" s="1"/>
      <c r="Y36" s="1"/>
      <c r="Z36" s="1"/>
    </row>
    <row r="37" spans="1:26" ht="15.75" customHeight="1" x14ac:dyDescent="0.15">
      <c r="A37" s="1" t="s">
        <v>14</v>
      </c>
      <c r="B37" s="2">
        <v>1</v>
      </c>
      <c r="C37" s="1" t="s">
        <v>15</v>
      </c>
      <c r="D37" s="2">
        <v>32</v>
      </c>
      <c r="E37" s="2">
        <v>18</v>
      </c>
      <c r="F37" s="2">
        <v>7</v>
      </c>
      <c r="G37" s="6">
        <v>5</v>
      </c>
      <c r="H37" s="2">
        <v>100</v>
      </c>
      <c r="I37" s="2">
        <v>100</v>
      </c>
      <c r="J37" s="2">
        <v>100</v>
      </c>
      <c r="K37" s="2">
        <v>100</v>
      </c>
      <c r="L37" s="2">
        <v>2</v>
      </c>
      <c r="M37" s="2">
        <v>0</v>
      </c>
      <c r="N37" s="2">
        <v>0</v>
      </c>
      <c r="O37" s="1"/>
      <c r="P37" s="1"/>
      <c r="Q37" s="1"/>
      <c r="R37" s="7">
        <f t="shared" si="0"/>
        <v>56.25</v>
      </c>
      <c r="S37" s="15">
        <f>(AVERAGE(H37:L37))/G37</f>
        <v>16.080000000000002</v>
      </c>
      <c r="T37" s="8">
        <f t="shared" si="2"/>
        <v>9.0450000000000017</v>
      </c>
      <c r="U37" s="1"/>
      <c r="V37" s="1"/>
      <c r="W37" s="1"/>
      <c r="X37" s="1"/>
      <c r="Y37" s="1"/>
      <c r="Z37" s="1"/>
    </row>
    <row r="38" spans="1:26" ht="15.75" customHeight="1" x14ac:dyDescent="0.15">
      <c r="A38" s="1" t="s">
        <v>14</v>
      </c>
      <c r="B38" s="2">
        <v>2</v>
      </c>
      <c r="C38" s="1" t="s">
        <v>15</v>
      </c>
      <c r="D38" s="1"/>
      <c r="E38" s="1"/>
      <c r="F38" s="1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7"/>
      <c r="S38" s="15"/>
      <c r="T38" s="8"/>
      <c r="U38" s="1"/>
      <c r="V38" s="1"/>
      <c r="W38" s="1"/>
      <c r="X38" s="1"/>
      <c r="Y38" s="1"/>
      <c r="Z38" s="1"/>
    </row>
    <row r="39" spans="1:26" ht="15.75" customHeight="1" x14ac:dyDescent="0.15">
      <c r="A39" s="1" t="s">
        <v>14</v>
      </c>
      <c r="B39" s="2">
        <v>3</v>
      </c>
      <c r="C39" s="1" t="s">
        <v>15</v>
      </c>
      <c r="D39" s="2">
        <v>24.5</v>
      </c>
      <c r="E39" s="2">
        <v>16</v>
      </c>
      <c r="F39" s="2">
        <v>8</v>
      </c>
      <c r="G39" s="6">
        <v>7</v>
      </c>
      <c r="H39" s="2">
        <v>100</v>
      </c>
      <c r="I39" s="2">
        <v>100</v>
      </c>
      <c r="J39" s="2">
        <v>100</v>
      </c>
      <c r="K39" s="2">
        <v>100</v>
      </c>
      <c r="L39" s="2">
        <v>40</v>
      </c>
      <c r="M39" s="2">
        <v>20</v>
      </c>
      <c r="N39" s="2">
        <v>20</v>
      </c>
      <c r="O39" s="2">
        <v>0</v>
      </c>
      <c r="P39" s="2">
        <v>0</v>
      </c>
      <c r="Q39" s="1"/>
      <c r="R39" s="7">
        <f t="shared" si="0"/>
        <v>65.306122448979593</v>
      </c>
      <c r="S39" s="15">
        <f>(AVERAGE(H39:N39))/G39</f>
        <v>9.795918367346939</v>
      </c>
      <c r="T39" s="8">
        <f>(R39*S39)/100</f>
        <v>6.3973344439816744</v>
      </c>
      <c r="U39" s="1"/>
      <c r="V39" s="1"/>
      <c r="W39" s="1"/>
      <c r="X39" s="1"/>
      <c r="Y39" s="1"/>
      <c r="Z39" s="1"/>
    </row>
    <row r="40" spans="1:26" ht="15.75" customHeight="1" x14ac:dyDescent="0.15">
      <c r="A40" s="1" t="s">
        <v>10</v>
      </c>
      <c r="B40" s="2">
        <v>1</v>
      </c>
      <c r="C40" s="1" t="s">
        <v>15</v>
      </c>
      <c r="D40" s="1"/>
      <c r="E40" s="1"/>
      <c r="F40" s="1"/>
      <c r="G40" s="5"/>
      <c r="H40" s="1"/>
      <c r="I40" s="1"/>
      <c r="J40" s="1"/>
      <c r="K40" s="1"/>
      <c r="L40" s="1"/>
      <c r="M40" s="1"/>
      <c r="N40" s="1"/>
      <c r="O40" s="1"/>
      <c r="P40" s="1"/>
      <c r="Q40" s="2">
        <v>0</v>
      </c>
      <c r="R40" s="7"/>
      <c r="S40" s="15"/>
      <c r="T40" s="8"/>
      <c r="U40" s="1"/>
      <c r="V40" s="1"/>
      <c r="W40" s="1"/>
      <c r="X40" s="1"/>
      <c r="Y40" s="1"/>
      <c r="Z40" s="1"/>
    </row>
    <row r="41" spans="1:26" ht="15.75" customHeight="1" x14ac:dyDescent="0.15">
      <c r="A41" s="1" t="s">
        <v>10</v>
      </c>
      <c r="B41" s="2">
        <v>2</v>
      </c>
      <c r="C41" s="1" t="s">
        <v>15</v>
      </c>
      <c r="D41" s="2">
        <v>25</v>
      </c>
      <c r="E41" s="2">
        <v>14</v>
      </c>
      <c r="F41" s="2">
        <v>12</v>
      </c>
      <c r="G41" s="6">
        <v>6</v>
      </c>
      <c r="H41" s="2">
        <v>100</v>
      </c>
      <c r="I41" s="2">
        <v>100</v>
      </c>
      <c r="J41" s="2">
        <v>100</v>
      </c>
      <c r="K41" s="2">
        <v>100</v>
      </c>
      <c r="L41" s="2">
        <v>10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7">
        <f t="shared" si="0"/>
        <v>56.000000000000007</v>
      </c>
      <c r="S41" s="15">
        <f>(AVERAGE(H41:M41))/G41</f>
        <v>11.444444444444445</v>
      </c>
      <c r="T41" s="8">
        <f t="shared" ref="T41:T44" si="4">(R41*S41)/100</f>
        <v>6.4088888888888906</v>
      </c>
      <c r="U41" s="1"/>
      <c r="V41" s="1"/>
      <c r="W41" s="1"/>
      <c r="X41" s="1"/>
      <c r="Y41" s="1"/>
      <c r="Z41" s="1"/>
    </row>
    <row r="42" spans="1:26" ht="15.75" customHeight="1" x14ac:dyDescent="0.15">
      <c r="A42" s="1" t="s">
        <v>10</v>
      </c>
      <c r="B42" s="2">
        <v>3</v>
      </c>
      <c r="C42" s="1" t="s">
        <v>15</v>
      </c>
      <c r="D42" s="2">
        <v>28.5</v>
      </c>
      <c r="E42" s="2">
        <v>19</v>
      </c>
      <c r="F42" s="2">
        <v>10</v>
      </c>
      <c r="G42" s="6">
        <v>8</v>
      </c>
      <c r="H42" s="2">
        <v>100</v>
      </c>
      <c r="I42" s="2">
        <v>100</v>
      </c>
      <c r="J42" s="2">
        <v>100</v>
      </c>
      <c r="K42" s="2">
        <v>50</v>
      </c>
      <c r="L42" s="2">
        <v>20</v>
      </c>
      <c r="M42" s="2">
        <v>10</v>
      </c>
      <c r="N42" s="2">
        <v>2</v>
      </c>
      <c r="O42" s="2">
        <v>0</v>
      </c>
      <c r="P42" s="2">
        <v>0</v>
      </c>
      <c r="Q42" s="2">
        <v>0</v>
      </c>
      <c r="R42" s="7">
        <f t="shared" si="0"/>
        <v>66.666666666666657</v>
      </c>
      <c r="S42" s="15">
        <f>(AVERAGE(H42:O42))/G42</f>
        <v>5.96875</v>
      </c>
      <c r="T42" s="8">
        <f t="shared" si="4"/>
        <v>3.9791666666666661</v>
      </c>
      <c r="U42" s="1"/>
      <c r="V42" s="1"/>
      <c r="W42" s="1"/>
      <c r="X42" s="1"/>
      <c r="Y42" s="1"/>
      <c r="Z42" s="1"/>
    </row>
    <row r="43" spans="1:26" ht="13" x14ac:dyDescent="0.15">
      <c r="A43" s="11" t="s">
        <v>11</v>
      </c>
      <c r="B43" s="2">
        <v>1</v>
      </c>
      <c r="C43" s="1" t="s">
        <v>15</v>
      </c>
      <c r="D43" s="2">
        <v>21</v>
      </c>
      <c r="E43" s="2">
        <v>13</v>
      </c>
      <c r="F43" s="2">
        <v>7</v>
      </c>
      <c r="G43" s="6">
        <v>5</v>
      </c>
      <c r="H43" s="2">
        <v>100</v>
      </c>
      <c r="I43" s="2">
        <v>100</v>
      </c>
      <c r="J43" s="2">
        <v>100</v>
      </c>
      <c r="K43" s="2">
        <v>100</v>
      </c>
      <c r="L43" s="2">
        <v>30</v>
      </c>
      <c r="M43" s="2">
        <v>0</v>
      </c>
      <c r="N43" s="2">
        <v>0</v>
      </c>
      <c r="O43" s="2">
        <v>0</v>
      </c>
      <c r="P43" s="1"/>
      <c r="Q43" s="1"/>
      <c r="R43" s="7">
        <f t="shared" si="0"/>
        <v>61.904761904761905</v>
      </c>
      <c r="S43" s="15">
        <f>(AVERAGE(H43:L43))/G43</f>
        <v>17.2</v>
      </c>
      <c r="T43" s="8">
        <f t="shared" si="4"/>
        <v>10.647619047619049</v>
      </c>
      <c r="U43" s="1"/>
      <c r="V43" s="1"/>
      <c r="W43" s="1"/>
      <c r="X43" s="1"/>
      <c r="Y43" s="1"/>
      <c r="Z43" s="1"/>
    </row>
    <row r="44" spans="1:26" ht="13" x14ac:dyDescent="0.15">
      <c r="A44" s="11" t="s">
        <v>11</v>
      </c>
      <c r="B44" s="2">
        <v>2</v>
      </c>
      <c r="C44" s="1" t="s">
        <v>15</v>
      </c>
      <c r="D44" s="2">
        <v>23</v>
      </c>
      <c r="E44" s="2">
        <v>15</v>
      </c>
      <c r="F44" s="2">
        <v>7</v>
      </c>
      <c r="G44" s="6">
        <v>5</v>
      </c>
      <c r="H44" s="2">
        <v>100</v>
      </c>
      <c r="I44" s="2">
        <v>100</v>
      </c>
      <c r="J44" s="2">
        <v>100</v>
      </c>
      <c r="K44" s="2">
        <v>80</v>
      </c>
      <c r="L44" s="2">
        <v>100</v>
      </c>
      <c r="M44" s="2">
        <v>0</v>
      </c>
      <c r="N44" s="2">
        <v>0</v>
      </c>
      <c r="O44" s="2">
        <v>0</v>
      </c>
      <c r="P44" s="1"/>
      <c r="Q44" s="1"/>
      <c r="R44" s="7">
        <f t="shared" si="0"/>
        <v>65.217391304347828</v>
      </c>
      <c r="S44" s="15">
        <f>(AVERAGE(H44:L44))/G44</f>
        <v>19.2</v>
      </c>
      <c r="T44" s="8">
        <f t="shared" si="4"/>
        <v>12.521739130434783</v>
      </c>
      <c r="U44" s="1"/>
      <c r="V44" s="1"/>
      <c r="W44" s="1"/>
      <c r="X44" s="1"/>
      <c r="Y44" s="1"/>
      <c r="Z44" s="1"/>
    </row>
    <row r="45" spans="1:26" ht="13" x14ac:dyDescent="0.15">
      <c r="A45" s="11" t="s">
        <v>11</v>
      </c>
      <c r="B45" s="2">
        <v>3</v>
      </c>
      <c r="C45" s="1" t="s">
        <v>15</v>
      </c>
      <c r="D45" s="2">
        <v>18</v>
      </c>
      <c r="E45" s="2">
        <v>15</v>
      </c>
      <c r="F45" s="2">
        <v>7</v>
      </c>
      <c r="G45" s="6">
        <v>5</v>
      </c>
      <c r="H45" s="2">
        <v>100</v>
      </c>
      <c r="I45" s="2">
        <v>100</v>
      </c>
      <c r="J45" s="2">
        <v>100</v>
      </c>
      <c r="K45" s="2">
        <v>100</v>
      </c>
      <c r="L45" s="2">
        <v>100</v>
      </c>
      <c r="M45" s="2">
        <v>5</v>
      </c>
      <c r="N45" s="2">
        <v>2</v>
      </c>
      <c r="O45" s="2">
        <v>0</v>
      </c>
      <c r="P45" s="2">
        <v>0</v>
      </c>
      <c r="Q45" s="1"/>
      <c r="R45" s="7">
        <f t="shared" si="0"/>
        <v>83.333333333333343</v>
      </c>
      <c r="S45" s="15">
        <f>(AVERAGE(H45:L45))/G45</f>
        <v>20</v>
      </c>
      <c r="T45" s="8">
        <f>(R45*S45)/100</f>
        <v>16.666666666666671</v>
      </c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7"/>
      <c r="S46" s="15"/>
      <c r="T46" s="8"/>
      <c r="U46" s="1"/>
      <c r="V46" s="1"/>
      <c r="W46" s="1"/>
      <c r="X46" s="1"/>
      <c r="Y46" s="1"/>
      <c r="Z46" s="1"/>
    </row>
    <row r="47" spans="1:26" ht="13" x14ac:dyDescent="0.15">
      <c r="A47" s="1" t="s">
        <v>12</v>
      </c>
      <c r="B47" s="2">
        <v>1</v>
      </c>
      <c r="C47" s="1" t="s">
        <v>16</v>
      </c>
      <c r="D47" s="2">
        <v>18</v>
      </c>
      <c r="E47" s="2">
        <v>16</v>
      </c>
      <c r="F47" s="2">
        <v>6</v>
      </c>
      <c r="G47" s="6">
        <v>4</v>
      </c>
      <c r="H47" s="2">
        <v>100</v>
      </c>
      <c r="I47" s="2">
        <v>100</v>
      </c>
      <c r="J47" s="2">
        <v>100</v>
      </c>
      <c r="K47" s="2">
        <v>40</v>
      </c>
      <c r="L47" s="2">
        <v>2</v>
      </c>
      <c r="M47" s="2">
        <v>1</v>
      </c>
      <c r="N47" s="2">
        <v>0</v>
      </c>
      <c r="O47" s="2">
        <v>0</v>
      </c>
      <c r="P47" s="1"/>
      <c r="Q47" s="1"/>
      <c r="R47" s="7">
        <f t="shared" si="0"/>
        <v>88.888888888888886</v>
      </c>
      <c r="S47" s="15">
        <f t="shared" si="3"/>
        <v>21.25</v>
      </c>
      <c r="T47" s="8">
        <f t="shared" ref="T47:T58" si="5">(R47*S47)/100</f>
        <v>18.888888888888889</v>
      </c>
      <c r="U47" s="1"/>
      <c r="V47" s="1"/>
      <c r="W47" s="1"/>
      <c r="X47" s="1"/>
      <c r="Y47" s="1"/>
      <c r="Z47" s="1"/>
    </row>
    <row r="48" spans="1:26" ht="13" x14ac:dyDescent="0.15">
      <c r="A48" s="1" t="s">
        <v>12</v>
      </c>
      <c r="B48" s="2">
        <v>2</v>
      </c>
      <c r="C48" s="1" t="s">
        <v>16</v>
      </c>
      <c r="D48" s="2">
        <v>15</v>
      </c>
      <c r="E48" s="2">
        <v>14</v>
      </c>
      <c r="F48" s="2">
        <v>5</v>
      </c>
      <c r="G48" s="6">
        <v>4</v>
      </c>
      <c r="H48" s="2">
        <v>100</v>
      </c>
      <c r="I48" s="2">
        <v>100</v>
      </c>
      <c r="J48" s="2">
        <v>2</v>
      </c>
      <c r="K48" s="2">
        <v>1</v>
      </c>
      <c r="L48" s="2">
        <v>0</v>
      </c>
      <c r="M48" s="2">
        <v>0</v>
      </c>
      <c r="N48" s="1"/>
      <c r="O48" s="1"/>
      <c r="P48" s="1"/>
      <c r="Q48" s="1"/>
      <c r="R48" s="7">
        <f t="shared" si="0"/>
        <v>93.333333333333329</v>
      </c>
      <c r="S48" s="15">
        <f>(AVERAGE(H48:K48))/G48</f>
        <v>12.6875</v>
      </c>
      <c r="T48" s="8">
        <f t="shared" si="5"/>
        <v>11.841666666666665</v>
      </c>
      <c r="U48" s="1"/>
      <c r="V48" s="1"/>
      <c r="W48" s="1"/>
      <c r="X48" s="1"/>
      <c r="Y48" s="1"/>
      <c r="Z48" s="1"/>
    </row>
    <row r="49" spans="1:26" ht="13" x14ac:dyDescent="0.15">
      <c r="A49" s="1" t="s">
        <v>12</v>
      </c>
      <c r="B49" s="2">
        <v>3</v>
      </c>
      <c r="C49" s="1" t="s">
        <v>16</v>
      </c>
      <c r="D49" s="2">
        <v>28</v>
      </c>
      <c r="E49" s="2">
        <v>24</v>
      </c>
      <c r="F49" s="2">
        <v>8</v>
      </c>
      <c r="G49" s="6">
        <v>7</v>
      </c>
      <c r="H49" s="1">
        <v>100</v>
      </c>
      <c r="I49" s="2">
        <v>100</v>
      </c>
      <c r="J49" s="2">
        <v>100</v>
      </c>
      <c r="K49" s="2">
        <v>100</v>
      </c>
      <c r="L49" s="2">
        <v>100</v>
      </c>
      <c r="M49" s="2">
        <v>100</v>
      </c>
      <c r="N49" s="2">
        <v>40</v>
      </c>
      <c r="O49" s="2">
        <v>3</v>
      </c>
      <c r="P49" s="2">
        <v>1</v>
      </c>
      <c r="Q49" s="2">
        <v>0</v>
      </c>
      <c r="R49" s="7">
        <f t="shared" si="0"/>
        <v>85.714285714285708</v>
      </c>
      <c r="S49" s="15">
        <f>(AVERAGE(H49:N49))/G49</f>
        <v>13.061224489795919</v>
      </c>
      <c r="T49" s="8">
        <f t="shared" si="5"/>
        <v>11.195335276967931</v>
      </c>
      <c r="U49" s="1"/>
      <c r="V49" s="1"/>
      <c r="W49" s="1"/>
      <c r="X49" s="1"/>
      <c r="Y49" s="1"/>
      <c r="Z49" s="1"/>
    </row>
    <row r="50" spans="1:26" ht="13" x14ac:dyDescent="0.15">
      <c r="A50" s="1" t="s">
        <v>14</v>
      </c>
      <c r="B50" s="2">
        <v>1</v>
      </c>
      <c r="C50" s="1" t="s">
        <v>16</v>
      </c>
      <c r="D50" s="2">
        <v>30</v>
      </c>
      <c r="E50" s="2">
        <v>17.5</v>
      </c>
      <c r="F50" s="2">
        <v>7</v>
      </c>
      <c r="G50" s="6">
        <v>6</v>
      </c>
      <c r="H50" s="2">
        <v>100</v>
      </c>
      <c r="I50" s="2">
        <v>100</v>
      </c>
      <c r="J50" s="2">
        <v>100</v>
      </c>
      <c r="K50" s="2">
        <v>2</v>
      </c>
      <c r="L50" s="2">
        <v>2</v>
      </c>
      <c r="M50" s="2">
        <v>1</v>
      </c>
      <c r="N50" s="1"/>
      <c r="O50" s="1"/>
      <c r="P50" s="1"/>
      <c r="Q50" s="1"/>
      <c r="R50" s="7">
        <f t="shared" si="0"/>
        <v>58.333333333333336</v>
      </c>
      <c r="S50" s="15">
        <f>(AVERAGE(H50:M50))/G50</f>
        <v>8.4722222222222232</v>
      </c>
      <c r="T50" s="8">
        <f t="shared" si="5"/>
        <v>4.9421296296296306</v>
      </c>
      <c r="U50" s="1"/>
      <c r="V50" s="1"/>
      <c r="W50" s="1"/>
      <c r="X50" s="1"/>
      <c r="Y50" s="1"/>
      <c r="Z50" s="1"/>
    </row>
    <row r="51" spans="1:26" ht="13" x14ac:dyDescent="0.15">
      <c r="A51" s="1" t="s">
        <v>14</v>
      </c>
      <c r="B51" s="2">
        <v>2</v>
      </c>
      <c r="C51" s="1" t="s">
        <v>16</v>
      </c>
      <c r="D51" s="2">
        <v>25</v>
      </c>
      <c r="E51" s="2">
        <v>14</v>
      </c>
      <c r="F51" s="2">
        <v>8</v>
      </c>
      <c r="G51" s="6">
        <v>6</v>
      </c>
      <c r="H51" s="2">
        <v>100</v>
      </c>
      <c r="I51" s="2">
        <v>100</v>
      </c>
      <c r="J51" s="2">
        <v>100</v>
      </c>
      <c r="K51" s="2">
        <v>100</v>
      </c>
      <c r="L51" s="2">
        <v>30</v>
      </c>
      <c r="M51" s="2">
        <v>5</v>
      </c>
      <c r="N51" s="2">
        <v>2</v>
      </c>
      <c r="O51" s="2">
        <v>0</v>
      </c>
      <c r="P51" s="2">
        <v>0</v>
      </c>
      <c r="Q51" s="1"/>
      <c r="R51" s="7">
        <f t="shared" si="0"/>
        <v>56.000000000000007</v>
      </c>
      <c r="S51" s="15">
        <f>(AVERAGE(H51:M51))/G51</f>
        <v>12.083333333333334</v>
      </c>
      <c r="T51" s="8">
        <f>(R51*S51)/100</f>
        <v>6.7666666666666675</v>
      </c>
      <c r="U51" s="1"/>
      <c r="V51" s="1"/>
      <c r="W51" s="1"/>
      <c r="X51" s="1"/>
      <c r="Y51" s="1"/>
      <c r="Z51" s="1"/>
    </row>
    <row r="52" spans="1:26" ht="13" x14ac:dyDescent="0.15">
      <c r="A52" s="1" t="s">
        <v>14</v>
      </c>
      <c r="B52" s="2">
        <v>3</v>
      </c>
      <c r="C52" s="1" t="s">
        <v>16</v>
      </c>
      <c r="D52" s="1"/>
      <c r="E52" s="1"/>
      <c r="F52" s="1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7"/>
      <c r="S52" s="15"/>
      <c r="T52" s="8"/>
      <c r="U52" s="1"/>
      <c r="V52" s="1"/>
      <c r="W52" s="1"/>
      <c r="X52" s="1"/>
      <c r="Y52" s="1"/>
      <c r="Z52" s="1"/>
    </row>
    <row r="53" spans="1:26" ht="13" x14ac:dyDescent="0.15">
      <c r="A53" s="1" t="s">
        <v>10</v>
      </c>
      <c r="B53" s="2">
        <v>1</v>
      </c>
      <c r="C53" s="1" t="s">
        <v>16</v>
      </c>
      <c r="D53" s="2">
        <v>20</v>
      </c>
      <c r="E53" s="2">
        <v>12</v>
      </c>
      <c r="F53" s="2">
        <v>7</v>
      </c>
      <c r="G53" s="6">
        <v>5</v>
      </c>
      <c r="H53" s="2">
        <v>100</v>
      </c>
      <c r="I53" s="2">
        <v>100</v>
      </c>
      <c r="J53" s="2">
        <v>100</v>
      </c>
      <c r="K53" s="2">
        <v>60</v>
      </c>
      <c r="L53" s="2">
        <v>2</v>
      </c>
      <c r="M53" s="2">
        <v>0</v>
      </c>
      <c r="N53" s="2">
        <v>0</v>
      </c>
      <c r="O53" s="2">
        <v>0</v>
      </c>
      <c r="P53" s="1"/>
      <c r="Q53" s="1"/>
      <c r="R53" s="7">
        <f t="shared" si="0"/>
        <v>60</v>
      </c>
      <c r="S53" s="15">
        <f>(AVERAGE(H53:L53))/G53</f>
        <v>14.48</v>
      </c>
      <c r="T53" s="8">
        <f t="shared" si="5"/>
        <v>8.6880000000000006</v>
      </c>
      <c r="U53" s="1"/>
      <c r="V53" s="1"/>
      <c r="W53" s="1"/>
      <c r="X53" s="1"/>
      <c r="Y53" s="1"/>
      <c r="Z53" s="1"/>
    </row>
    <row r="54" spans="1:26" ht="13" x14ac:dyDescent="0.15">
      <c r="A54" s="1" t="s">
        <v>10</v>
      </c>
      <c r="B54" s="2">
        <v>2</v>
      </c>
      <c r="C54" s="1" t="s">
        <v>16</v>
      </c>
      <c r="D54" s="2">
        <v>23</v>
      </c>
      <c r="E54" s="2">
        <v>12</v>
      </c>
      <c r="F54" s="2">
        <v>8</v>
      </c>
      <c r="G54" s="6">
        <v>6</v>
      </c>
      <c r="H54" s="2">
        <v>100</v>
      </c>
      <c r="I54" s="2">
        <v>100</v>
      </c>
      <c r="J54" s="2">
        <v>100</v>
      </c>
      <c r="K54" s="2">
        <v>100</v>
      </c>
      <c r="L54" s="2">
        <v>40</v>
      </c>
      <c r="M54" s="2">
        <v>3</v>
      </c>
      <c r="N54" s="2">
        <v>1</v>
      </c>
      <c r="O54" s="2">
        <v>0</v>
      </c>
      <c r="P54" s="2">
        <v>0</v>
      </c>
      <c r="Q54" s="1"/>
      <c r="R54" s="7">
        <f t="shared" si="0"/>
        <v>52.173913043478258</v>
      </c>
      <c r="S54" s="15">
        <f>(AVERAGE(H54:M54))/G54</f>
        <v>12.305555555555555</v>
      </c>
      <c r="T54" s="8">
        <f t="shared" si="5"/>
        <v>6.4202898550724639</v>
      </c>
      <c r="U54" s="1"/>
      <c r="V54" s="1"/>
      <c r="W54" s="1"/>
      <c r="X54" s="1"/>
      <c r="Y54" s="1"/>
      <c r="Z54" s="1"/>
    </row>
    <row r="55" spans="1:26" ht="13" x14ac:dyDescent="0.15">
      <c r="A55" s="1" t="s">
        <v>10</v>
      </c>
      <c r="B55" s="2">
        <v>3</v>
      </c>
      <c r="C55" s="1" t="s">
        <v>16</v>
      </c>
      <c r="D55" s="2">
        <v>19</v>
      </c>
      <c r="E55" s="2">
        <v>10</v>
      </c>
      <c r="F55" s="2">
        <v>8</v>
      </c>
      <c r="G55" s="6">
        <v>6</v>
      </c>
      <c r="H55" s="2">
        <v>100</v>
      </c>
      <c r="I55" s="2">
        <v>100</v>
      </c>
      <c r="J55" s="2">
        <v>100</v>
      </c>
      <c r="K55" s="2">
        <v>100</v>
      </c>
      <c r="L55" s="2">
        <v>40</v>
      </c>
      <c r="M55" s="2">
        <v>1</v>
      </c>
      <c r="N55" s="2">
        <v>0</v>
      </c>
      <c r="O55" s="2">
        <v>0</v>
      </c>
      <c r="P55" s="2">
        <v>0</v>
      </c>
      <c r="Q55" s="1"/>
      <c r="R55" s="7">
        <f t="shared" si="0"/>
        <v>52.631578947368418</v>
      </c>
      <c r="S55" s="15">
        <f>(AVERAGE(H55:M55))/G55</f>
        <v>12.25</v>
      </c>
      <c r="T55" s="8">
        <f>(R55*S55)/100</f>
        <v>6.447368421052631</v>
      </c>
      <c r="U55" s="1"/>
      <c r="V55" s="1"/>
      <c r="W55" s="1"/>
      <c r="X55" s="1"/>
      <c r="Y55" s="1"/>
      <c r="Z55" s="1"/>
    </row>
    <row r="56" spans="1:26" ht="13" x14ac:dyDescent="0.15">
      <c r="A56" s="11" t="s">
        <v>11</v>
      </c>
      <c r="B56" s="2">
        <v>1</v>
      </c>
      <c r="C56" s="1" t="s">
        <v>16</v>
      </c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7"/>
      <c r="S56" s="15"/>
      <c r="T56" s="8"/>
      <c r="U56" s="1"/>
      <c r="V56" s="1"/>
      <c r="W56" s="1"/>
      <c r="X56" s="1"/>
      <c r="Y56" s="1"/>
      <c r="Z56" s="1"/>
    </row>
    <row r="57" spans="1:26" ht="13" x14ac:dyDescent="0.15">
      <c r="A57" s="11" t="s">
        <v>11</v>
      </c>
      <c r="B57" s="2">
        <v>2</v>
      </c>
      <c r="C57" s="1" t="s">
        <v>16</v>
      </c>
      <c r="D57" s="2">
        <v>24</v>
      </c>
      <c r="E57" s="2">
        <v>19</v>
      </c>
      <c r="F57" s="2">
        <v>8</v>
      </c>
      <c r="G57" s="6">
        <v>7</v>
      </c>
      <c r="H57" s="2">
        <v>100</v>
      </c>
      <c r="I57" s="2">
        <v>100</v>
      </c>
      <c r="J57" s="2">
        <v>100</v>
      </c>
      <c r="K57" s="2">
        <v>5</v>
      </c>
      <c r="L57" s="2">
        <v>2</v>
      </c>
      <c r="M57" s="2">
        <v>1</v>
      </c>
      <c r="N57" s="2">
        <v>1</v>
      </c>
      <c r="O57" s="2">
        <v>0</v>
      </c>
      <c r="P57" s="2">
        <v>0</v>
      </c>
      <c r="Q57" s="1"/>
      <c r="R57" s="7">
        <f t="shared" si="0"/>
        <v>79.166666666666657</v>
      </c>
      <c r="S57" s="15">
        <f>(AVERAGE(H57:N57))/G57</f>
        <v>6.3061224489795924</v>
      </c>
      <c r="T57" s="8">
        <f t="shared" si="5"/>
        <v>4.9923469387755102</v>
      </c>
      <c r="U57" s="1"/>
      <c r="V57" s="1"/>
      <c r="W57" s="1"/>
      <c r="X57" s="1"/>
      <c r="Y57" s="1"/>
      <c r="Z57" s="1"/>
    </row>
    <row r="58" spans="1:26" ht="13" x14ac:dyDescent="0.15">
      <c r="A58" s="11" t="s">
        <v>11</v>
      </c>
      <c r="B58" s="2">
        <v>3</v>
      </c>
      <c r="C58" s="1" t="s">
        <v>16</v>
      </c>
      <c r="D58" s="2">
        <v>31</v>
      </c>
      <c r="E58" s="2">
        <v>21</v>
      </c>
      <c r="F58" s="2">
        <v>9</v>
      </c>
      <c r="G58" s="6">
        <v>7</v>
      </c>
      <c r="H58" s="2">
        <v>100</v>
      </c>
      <c r="I58" s="2">
        <v>100</v>
      </c>
      <c r="J58" s="2">
        <v>100</v>
      </c>
      <c r="K58" s="2">
        <v>100</v>
      </c>
      <c r="L58" s="2">
        <v>60</v>
      </c>
      <c r="M58" s="2">
        <v>2</v>
      </c>
      <c r="N58" s="2">
        <v>1</v>
      </c>
      <c r="O58" s="2">
        <v>0</v>
      </c>
      <c r="P58" s="2">
        <v>0</v>
      </c>
      <c r="Q58" s="2">
        <v>0</v>
      </c>
      <c r="R58" s="7">
        <f t="shared" si="0"/>
        <v>67.741935483870961</v>
      </c>
      <c r="S58" s="15">
        <f>(AVERAGE(H58:N58))/G58</f>
        <v>9.4489795918367339</v>
      </c>
      <c r="T58" s="8">
        <f t="shared" si="5"/>
        <v>6.4009216589861744</v>
      </c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7"/>
      <c r="S59" s="15"/>
      <c r="T59" s="8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7"/>
      <c r="S60" s="15"/>
      <c r="T60" s="8"/>
      <c r="U60" s="1"/>
      <c r="V60" s="1"/>
      <c r="W60" s="1"/>
      <c r="X60" s="1"/>
      <c r="Y60" s="1"/>
      <c r="Z60" s="1"/>
    </row>
    <row r="61" spans="1:26" ht="13" x14ac:dyDescent="0.15">
      <c r="A61" s="1" t="s">
        <v>12</v>
      </c>
      <c r="B61" s="2">
        <v>1</v>
      </c>
      <c r="C61" s="1" t="s">
        <v>17</v>
      </c>
      <c r="D61" s="2">
        <v>18.5</v>
      </c>
      <c r="E61" s="2">
        <v>15</v>
      </c>
      <c r="F61" s="2">
        <v>7</v>
      </c>
      <c r="G61" s="6">
        <v>6</v>
      </c>
      <c r="H61" s="2">
        <v>100</v>
      </c>
      <c r="I61" s="2">
        <v>100</v>
      </c>
      <c r="J61" s="2">
        <v>100</v>
      </c>
      <c r="K61" s="1">
        <v>60</v>
      </c>
      <c r="L61" s="2">
        <v>20</v>
      </c>
      <c r="M61" s="2">
        <v>2</v>
      </c>
      <c r="N61" s="2">
        <v>0</v>
      </c>
      <c r="O61" s="1"/>
      <c r="P61" s="1"/>
      <c r="Q61" s="1"/>
      <c r="R61" s="7">
        <f t="shared" si="0"/>
        <v>81.081081081081081</v>
      </c>
      <c r="S61" s="15">
        <f>(AVERAGE(H61:M61))/G61</f>
        <v>10.611111111111111</v>
      </c>
      <c r="T61" s="8">
        <f>(R61*S61)/100</f>
        <v>8.6036036036036041</v>
      </c>
      <c r="U61" s="1"/>
      <c r="V61" s="1"/>
      <c r="W61" s="1"/>
      <c r="X61" s="1"/>
      <c r="Y61" s="1"/>
      <c r="Z61" s="1"/>
    </row>
    <row r="62" spans="1:26" ht="13" x14ac:dyDescent="0.15">
      <c r="A62" s="1" t="s">
        <v>12</v>
      </c>
      <c r="B62" s="2">
        <v>2</v>
      </c>
      <c r="C62" s="1" t="s">
        <v>17</v>
      </c>
      <c r="D62" s="2">
        <v>18</v>
      </c>
      <c r="E62" s="2">
        <v>12</v>
      </c>
      <c r="F62" s="2">
        <v>8</v>
      </c>
      <c r="G62" s="6">
        <v>6</v>
      </c>
      <c r="H62" s="2">
        <v>100</v>
      </c>
      <c r="I62" s="2">
        <v>100</v>
      </c>
      <c r="J62" s="2">
        <v>100</v>
      </c>
      <c r="K62" s="2">
        <v>20</v>
      </c>
      <c r="L62" s="2">
        <v>5</v>
      </c>
      <c r="M62" s="2">
        <v>1</v>
      </c>
      <c r="N62" s="2">
        <v>0</v>
      </c>
      <c r="O62" s="1"/>
      <c r="P62" s="1"/>
      <c r="Q62" s="1"/>
      <c r="R62" s="7">
        <f t="shared" si="0"/>
        <v>66.666666666666657</v>
      </c>
      <c r="S62" s="15">
        <f>(AVERAGE(H62:M62))/G62</f>
        <v>9.0555555555555554</v>
      </c>
      <c r="T62" s="8">
        <f t="shared" ref="T62" si="6">(R62*S62)/100</f>
        <v>6.0370370370370354</v>
      </c>
      <c r="U62" s="1"/>
      <c r="V62" s="1"/>
      <c r="W62" s="1"/>
      <c r="X62" s="1"/>
      <c r="Y62" s="1"/>
      <c r="Z62" s="1"/>
    </row>
    <row r="63" spans="1:26" ht="13" x14ac:dyDescent="0.15">
      <c r="A63" s="1" t="s">
        <v>12</v>
      </c>
      <c r="B63" s="2">
        <v>3</v>
      </c>
      <c r="C63" s="1" t="s">
        <v>17</v>
      </c>
      <c r="D63" s="2">
        <v>28</v>
      </c>
      <c r="E63" s="2">
        <v>16</v>
      </c>
      <c r="F63" s="2">
        <v>8</v>
      </c>
      <c r="G63" s="6">
        <v>6</v>
      </c>
      <c r="H63" s="2">
        <v>100</v>
      </c>
      <c r="I63" s="2">
        <v>100</v>
      </c>
      <c r="J63" s="2">
        <v>80</v>
      </c>
      <c r="K63" s="2">
        <v>40</v>
      </c>
      <c r="L63" s="2">
        <v>2</v>
      </c>
      <c r="M63" s="2">
        <v>1</v>
      </c>
      <c r="N63" s="2">
        <v>1</v>
      </c>
      <c r="O63" s="2">
        <v>0</v>
      </c>
      <c r="P63" s="2">
        <v>0</v>
      </c>
      <c r="Q63" s="1"/>
      <c r="R63" s="7">
        <f t="shared" si="0"/>
        <v>57.142857142857139</v>
      </c>
      <c r="S63" s="15">
        <f>(AVERAGE(H63:M63))/G63</f>
        <v>8.9722222222222232</v>
      </c>
      <c r="T63" s="8">
        <f>(R63*S63)/100</f>
        <v>5.1269841269841274</v>
      </c>
      <c r="U63" s="1"/>
      <c r="V63" s="1"/>
      <c r="W63" s="1"/>
      <c r="X63" s="1"/>
      <c r="Y63" s="1"/>
      <c r="Z63" s="1"/>
    </row>
    <row r="64" spans="1:26" ht="13" x14ac:dyDescent="0.15">
      <c r="A64" s="1" t="s">
        <v>14</v>
      </c>
      <c r="B64" s="2">
        <v>1</v>
      </c>
      <c r="C64" s="1" t="s">
        <v>17</v>
      </c>
      <c r="D64" s="2">
        <v>18.5</v>
      </c>
      <c r="E64" s="2">
        <v>13</v>
      </c>
      <c r="F64" s="2">
        <v>7</v>
      </c>
      <c r="G64" s="6">
        <v>6</v>
      </c>
      <c r="H64" s="2">
        <v>100</v>
      </c>
      <c r="I64" s="2">
        <v>100</v>
      </c>
      <c r="J64" s="2">
        <v>100</v>
      </c>
      <c r="K64" s="2">
        <v>100</v>
      </c>
      <c r="L64" s="2">
        <v>80</v>
      </c>
      <c r="M64" s="2">
        <v>5</v>
      </c>
      <c r="N64" s="2">
        <v>0</v>
      </c>
      <c r="O64" s="2">
        <v>0</v>
      </c>
      <c r="P64" s="1"/>
      <c r="Q64" s="1"/>
      <c r="R64" s="7">
        <f t="shared" si="0"/>
        <v>70.270270270270274</v>
      </c>
      <c r="S64" s="15">
        <f>(AVERAGE(H64:M64))/G64</f>
        <v>13.472222222222221</v>
      </c>
      <c r="T64" s="8">
        <f t="shared" ref="T64:T76" si="7">(R64*S64)/100</f>
        <v>9.4669669669669663</v>
      </c>
      <c r="U64" s="1"/>
      <c r="V64" s="1"/>
      <c r="W64" s="1"/>
      <c r="X64" s="1"/>
      <c r="Y64" s="1"/>
      <c r="Z64" s="1"/>
    </row>
    <row r="65" spans="1:26" ht="13" x14ac:dyDescent="0.15">
      <c r="A65" s="1" t="s">
        <v>14</v>
      </c>
      <c r="B65" s="2">
        <v>2</v>
      </c>
      <c r="C65" s="1" t="s">
        <v>17</v>
      </c>
      <c r="D65" s="2">
        <v>28</v>
      </c>
      <c r="E65" s="2">
        <v>15</v>
      </c>
      <c r="F65" s="2">
        <v>7</v>
      </c>
      <c r="G65" s="6">
        <v>6</v>
      </c>
      <c r="H65" s="2">
        <v>100</v>
      </c>
      <c r="I65" s="2">
        <v>100</v>
      </c>
      <c r="J65" s="2">
        <v>100</v>
      </c>
      <c r="K65" s="2">
        <v>60</v>
      </c>
      <c r="L65" s="2">
        <v>40</v>
      </c>
      <c r="M65" s="2">
        <v>2</v>
      </c>
      <c r="N65" s="2">
        <v>0</v>
      </c>
      <c r="O65" s="2">
        <v>0</v>
      </c>
      <c r="P65" s="1"/>
      <c r="Q65" s="1"/>
      <c r="R65" s="7">
        <f t="shared" si="0"/>
        <v>53.571428571428569</v>
      </c>
      <c r="S65" s="15">
        <f>(AVERAGE(H65:M65))/G65</f>
        <v>11.166666666666666</v>
      </c>
      <c r="T65" s="8">
        <f t="shared" si="7"/>
        <v>5.9821428571428568</v>
      </c>
      <c r="U65" s="1"/>
      <c r="V65" s="1"/>
      <c r="W65" s="1"/>
      <c r="X65" s="1"/>
      <c r="Y65" s="1"/>
      <c r="Z65" s="1"/>
    </row>
    <row r="66" spans="1:26" ht="13" x14ac:dyDescent="0.15">
      <c r="A66" s="1" t="s">
        <v>14</v>
      </c>
      <c r="B66" s="2">
        <v>3</v>
      </c>
      <c r="C66" s="1" t="s">
        <v>17</v>
      </c>
      <c r="D66" s="2">
        <v>19</v>
      </c>
      <c r="E66" s="2">
        <v>14</v>
      </c>
      <c r="F66" s="2">
        <v>7</v>
      </c>
      <c r="G66" s="6">
        <v>7</v>
      </c>
      <c r="H66" s="2">
        <v>100</v>
      </c>
      <c r="I66" s="2">
        <v>100</v>
      </c>
      <c r="J66" s="2">
        <v>100</v>
      </c>
      <c r="K66" s="2">
        <v>100</v>
      </c>
      <c r="L66" s="2">
        <v>80</v>
      </c>
      <c r="M66" s="2">
        <v>5</v>
      </c>
      <c r="N66" s="2">
        <v>2</v>
      </c>
      <c r="O66" s="2">
        <v>0</v>
      </c>
      <c r="P66" s="1"/>
      <c r="Q66" s="1"/>
      <c r="R66" s="7">
        <f t="shared" si="0"/>
        <v>73.68421052631578</v>
      </c>
      <c r="S66" s="15">
        <f>(AVERAGE(H66:N66))/G66</f>
        <v>9.9387755102040813</v>
      </c>
      <c r="T66" s="8">
        <f t="shared" si="7"/>
        <v>7.3233082706766899</v>
      </c>
      <c r="U66" s="1"/>
      <c r="V66" s="1"/>
      <c r="W66" s="1"/>
      <c r="X66" s="1"/>
      <c r="Y66" s="1"/>
      <c r="Z66" s="1"/>
    </row>
    <row r="67" spans="1:26" ht="13" x14ac:dyDescent="0.15">
      <c r="A67" s="1" t="s">
        <v>10</v>
      </c>
      <c r="B67" s="2">
        <v>1</v>
      </c>
      <c r="C67" s="1" t="s">
        <v>17</v>
      </c>
      <c r="D67" s="2">
        <v>14</v>
      </c>
      <c r="E67" s="2">
        <v>9</v>
      </c>
      <c r="F67" s="2">
        <v>8</v>
      </c>
      <c r="G67" s="6">
        <v>7</v>
      </c>
      <c r="H67" s="2">
        <v>100</v>
      </c>
      <c r="I67" s="2">
        <v>100</v>
      </c>
      <c r="J67" s="2">
        <v>100</v>
      </c>
      <c r="K67" s="2">
        <v>100</v>
      </c>
      <c r="L67" s="2">
        <v>40</v>
      </c>
      <c r="M67" s="2">
        <v>10</v>
      </c>
      <c r="N67" s="2">
        <v>1</v>
      </c>
      <c r="O67" s="2">
        <v>0</v>
      </c>
      <c r="P67" s="1"/>
      <c r="Q67" s="1"/>
      <c r="R67" s="7">
        <f t="shared" si="0"/>
        <v>64.285714285714292</v>
      </c>
      <c r="S67" s="15">
        <f>(AVERAGE(H67:N67))/G67</f>
        <v>9.204081632653061</v>
      </c>
      <c r="T67" s="8">
        <f t="shared" si="7"/>
        <v>5.9169096209912535</v>
      </c>
      <c r="U67" s="1"/>
      <c r="V67" s="1"/>
      <c r="W67" s="1"/>
      <c r="X67" s="1"/>
      <c r="Y67" s="1"/>
      <c r="Z67" s="1"/>
    </row>
    <row r="68" spans="1:26" ht="13" x14ac:dyDescent="0.15">
      <c r="A68" s="1" t="s">
        <v>10</v>
      </c>
      <c r="B68" s="2">
        <v>2</v>
      </c>
      <c r="C68" s="1" t="s">
        <v>17</v>
      </c>
      <c r="D68" s="2">
        <v>32.5</v>
      </c>
      <c r="E68" s="2">
        <v>20</v>
      </c>
      <c r="F68" s="2">
        <v>9</v>
      </c>
      <c r="G68" s="6">
        <v>7</v>
      </c>
      <c r="H68" s="2">
        <v>100</v>
      </c>
      <c r="I68" s="2">
        <v>100</v>
      </c>
      <c r="J68" s="2">
        <v>100</v>
      </c>
      <c r="K68" s="2">
        <v>100</v>
      </c>
      <c r="L68" s="2">
        <v>2</v>
      </c>
      <c r="M68" s="2">
        <v>2</v>
      </c>
      <c r="N68" s="2">
        <v>2</v>
      </c>
      <c r="O68" s="2">
        <v>0</v>
      </c>
      <c r="P68" s="2">
        <v>0</v>
      </c>
      <c r="Q68" s="1"/>
      <c r="R68" s="7">
        <f t="shared" si="0"/>
        <v>61.53846153846154</v>
      </c>
      <c r="S68" s="15">
        <f>(AVERAGE(H68:N68))/G68</f>
        <v>8.2857142857142865</v>
      </c>
      <c r="T68" s="8">
        <f>(R68*S68)/100</f>
        <v>5.0989010989010994</v>
      </c>
      <c r="U68" s="1"/>
      <c r="V68" s="1"/>
      <c r="W68" s="1"/>
      <c r="X68" s="1"/>
      <c r="Y68" s="1"/>
      <c r="Z68" s="1"/>
    </row>
    <row r="69" spans="1:26" ht="13" x14ac:dyDescent="0.15">
      <c r="A69" s="1" t="s">
        <v>10</v>
      </c>
      <c r="B69" s="2">
        <v>3</v>
      </c>
      <c r="C69" s="1" t="s">
        <v>17</v>
      </c>
      <c r="D69" s="2">
        <v>26</v>
      </c>
      <c r="E69" s="2">
        <v>14</v>
      </c>
      <c r="F69" s="2">
        <v>10</v>
      </c>
      <c r="G69" s="6">
        <v>8</v>
      </c>
      <c r="H69" s="2">
        <v>100</v>
      </c>
      <c r="I69" s="2">
        <v>100</v>
      </c>
      <c r="J69" s="2">
        <v>100</v>
      </c>
      <c r="K69" s="2">
        <v>100</v>
      </c>
      <c r="L69" s="2">
        <v>100</v>
      </c>
      <c r="M69" s="2">
        <v>60</v>
      </c>
      <c r="N69" s="2">
        <v>30</v>
      </c>
      <c r="O69" s="2">
        <v>1</v>
      </c>
      <c r="P69" s="2">
        <v>0</v>
      </c>
      <c r="Q69" s="2">
        <v>0</v>
      </c>
      <c r="R69" s="7">
        <f t="shared" si="0"/>
        <v>53.846153846153847</v>
      </c>
      <c r="S69" s="15">
        <f>(AVERAGE(H69:O69))/G69</f>
        <v>9.234375</v>
      </c>
      <c r="T69" s="8">
        <f t="shared" si="7"/>
        <v>4.9723557692307692</v>
      </c>
      <c r="U69" s="1"/>
      <c r="V69" s="1"/>
      <c r="W69" s="1"/>
      <c r="X69" s="1"/>
      <c r="Y69" s="1"/>
      <c r="Z69" s="1"/>
    </row>
    <row r="70" spans="1:26" ht="13" x14ac:dyDescent="0.15">
      <c r="A70" s="11" t="s">
        <v>11</v>
      </c>
      <c r="B70" s="2">
        <v>1</v>
      </c>
      <c r="C70" s="1" t="s">
        <v>17</v>
      </c>
      <c r="D70" s="2">
        <v>22</v>
      </c>
      <c r="E70" s="2">
        <v>15</v>
      </c>
      <c r="F70" s="2">
        <v>8</v>
      </c>
      <c r="G70" s="6">
        <v>5</v>
      </c>
      <c r="H70" s="2">
        <v>100</v>
      </c>
      <c r="I70" s="2">
        <v>100</v>
      </c>
      <c r="J70" s="2">
        <v>100</v>
      </c>
      <c r="K70" s="2">
        <v>5</v>
      </c>
      <c r="L70" s="2">
        <v>1</v>
      </c>
      <c r="M70" s="2">
        <v>0</v>
      </c>
      <c r="N70" s="2">
        <v>0</v>
      </c>
      <c r="O70" s="2">
        <v>0</v>
      </c>
      <c r="P70" s="1"/>
      <c r="Q70" s="1"/>
      <c r="R70" s="7">
        <f t="shared" ref="R70:R78" si="8">(E70/D70)*100</f>
        <v>68.181818181818173</v>
      </c>
      <c r="S70" s="15">
        <f>(AVERAGE(H70:L70))/G70</f>
        <v>12.24</v>
      </c>
      <c r="T70" s="8">
        <f t="shared" si="7"/>
        <v>8.3454545454545457</v>
      </c>
      <c r="U70" s="1"/>
      <c r="V70" s="1"/>
      <c r="W70" s="1"/>
      <c r="X70" s="1"/>
      <c r="Y70" s="1"/>
      <c r="Z70" s="1"/>
    </row>
    <row r="71" spans="1:26" ht="13" x14ac:dyDescent="0.15">
      <c r="A71" s="11" t="s">
        <v>11</v>
      </c>
      <c r="B71" s="2">
        <v>2</v>
      </c>
      <c r="C71" s="1" t="s">
        <v>17</v>
      </c>
      <c r="D71" s="2">
        <v>21.5</v>
      </c>
      <c r="E71" s="2">
        <v>16</v>
      </c>
      <c r="F71" s="2">
        <v>7</v>
      </c>
      <c r="G71" s="6">
        <v>6</v>
      </c>
      <c r="H71" s="2">
        <v>100</v>
      </c>
      <c r="I71" s="2">
        <v>100</v>
      </c>
      <c r="J71" s="2">
        <v>20</v>
      </c>
      <c r="K71" s="2">
        <v>20</v>
      </c>
      <c r="L71" s="2">
        <v>20</v>
      </c>
      <c r="M71" s="2">
        <v>30</v>
      </c>
      <c r="N71" s="2">
        <v>0</v>
      </c>
      <c r="O71" s="2">
        <v>0</v>
      </c>
      <c r="P71" s="1"/>
      <c r="Q71" s="1"/>
      <c r="R71" s="7">
        <f t="shared" si="8"/>
        <v>74.418604651162795</v>
      </c>
      <c r="S71" s="15">
        <f>(AVERAGE(H71:M71))/G71</f>
        <v>8.0555555555555554</v>
      </c>
      <c r="T71" s="8">
        <f t="shared" si="7"/>
        <v>5.9948320413436695</v>
      </c>
      <c r="U71" s="1"/>
      <c r="V71" s="1"/>
      <c r="W71" s="1"/>
      <c r="X71" s="1"/>
      <c r="Y71" s="1"/>
      <c r="Z71" s="1"/>
    </row>
    <row r="72" spans="1:26" ht="13" x14ac:dyDescent="0.15">
      <c r="A72" s="11" t="s">
        <v>11</v>
      </c>
      <c r="B72" s="2">
        <v>3</v>
      </c>
      <c r="C72" s="1" t="s">
        <v>17</v>
      </c>
      <c r="D72" s="2">
        <v>16</v>
      </c>
      <c r="E72" s="2">
        <v>13.5</v>
      </c>
      <c r="F72" s="2">
        <v>5</v>
      </c>
      <c r="G72" s="6">
        <v>5</v>
      </c>
      <c r="H72" s="2">
        <v>100</v>
      </c>
      <c r="I72" s="2">
        <v>100</v>
      </c>
      <c r="J72" s="2">
        <v>100</v>
      </c>
      <c r="K72" s="2">
        <v>100</v>
      </c>
      <c r="L72" s="2">
        <v>40</v>
      </c>
      <c r="M72" s="2">
        <v>0</v>
      </c>
      <c r="N72" s="1"/>
      <c r="O72" s="1"/>
      <c r="P72" s="1"/>
      <c r="Q72" s="1"/>
      <c r="R72" s="7">
        <f t="shared" si="8"/>
        <v>84.375</v>
      </c>
      <c r="S72" s="15">
        <f>(AVERAGE(H72:L72))/G72</f>
        <v>17.600000000000001</v>
      </c>
      <c r="T72" s="8">
        <f>(R72*S72)/100</f>
        <v>14.850000000000001</v>
      </c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7"/>
      <c r="S73" s="15"/>
      <c r="T73" s="8"/>
      <c r="U73" s="1"/>
      <c r="V73" s="1"/>
      <c r="W73" s="1"/>
      <c r="X73" s="1"/>
      <c r="Y73" s="1"/>
      <c r="Z73" s="1"/>
    </row>
    <row r="74" spans="1:26" ht="13" x14ac:dyDescent="0.15">
      <c r="A74" s="1" t="s">
        <v>12</v>
      </c>
      <c r="B74" s="2">
        <v>1</v>
      </c>
      <c r="C74" s="1" t="s">
        <v>18</v>
      </c>
      <c r="D74" s="2">
        <v>19</v>
      </c>
      <c r="E74" s="2">
        <v>15</v>
      </c>
      <c r="F74" s="2">
        <v>5</v>
      </c>
      <c r="G74" s="6">
        <v>4</v>
      </c>
      <c r="H74" s="2">
        <v>100</v>
      </c>
      <c r="I74" s="2">
        <v>100</v>
      </c>
      <c r="J74" s="2">
        <v>100</v>
      </c>
      <c r="K74" s="2">
        <v>2</v>
      </c>
      <c r="L74" s="2">
        <v>1</v>
      </c>
      <c r="M74" s="2">
        <v>0</v>
      </c>
      <c r="N74" s="2">
        <v>0</v>
      </c>
      <c r="O74" s="1"/>
      <c r="P74" s="1"/>
      <c r="Q74" s="1"/>
      <c r="R74" s="7">
        <f t="shared" si="8"/>
        <v>78.94736842105263</v>
      </c>
      <c r="S74" s="15">
        <f t="shared" ref="S74" si="9">(AVERAGE(H74:K74))/G74</f>
        <v>18.875</v>
      </c>
      <c r="T74" s="8">
        <f t="shared" si="7"/>
        <v>14.901315789473683</v>
      </c>
      <c r="U74" s="1"/>
      <c r="V74" s="1"/>
      <c r="W74" s="1"/>
      <c r="X74" s="1"/>
      <c r="Y74" s="1"/>
      <c r="Z74" s="1"/>
    </row>
    <row r="75" spans="1:26" ht="13" x14ac:dyDescent="0.15">
      <c r="A75" s="1" t="s">
        <v>12</v>
      </c>
      <c r="B75" s="2">
        <v>2</v>
      </c>
      <c r="C75" s="1" t="s">
        <v>18</v>
      </c>
      <c r="D75" s="2">
        <v>27</v>
      </c>
      <c r="E75" s="2">
        <v>16</v>
      </c>
      <c r="F75" s="2">
        <v>7</v>
      </c>
      <c r="G75" s="6">
        <v>5</v>
      </c>
      <c r="H75" s="2">
        <v>100</v>
      </c>
      <c r="I75" s="2">
        <v>40</v>
      </c>
      <c r="J75" s="2">
        <v>5</v>
      </c>
      <c r="K75" s="2">
        <v>2</v>
      </c>
      <c r="L75" s="2">
        <v>2</v>
      </c>
      <c r="M75" s="2">
        <v>0</v>
      </c>
      <c r="N75" s="2">
        <v>0</v>
      </c>
      <c r="O75" s="2">
        <v>0</v>
      </c>
      <c r="P75" s="1"/>
      <c r="Q75" s="1"/>
      <c r="R75" s="7">
        <f t="shared" si="8"/>
        <v>59.259259259259252</v>
      </c>
      <c r="S75" s="15">
        <f>(AVERAGE(H75:L75))/G75</f>
        <v>5.96</v>
      </c>
      <c r="T75" s="8">
        <f t="shared" si="7"/>
        <v>3.5318518518518518</v>
      </c>
      <c r="U75" s="1"/>
      <c r="V75" s="1"/>
      <c r="W75" s="1"/>
      <c r="X75" s="1"/>
      <c r="Y75" s="1"/>
      <c r="Z75" s="1"/>
    </row>
    <row r="76" spans="1:26" ht="13" x14ac:dyDescent="0.15">
      <c r="A76" s="1" t="s">
        <v>12</v>
      </c>
      <c r="B76" s="2">
        <v>3</v>
      </c>
      <c r="C76" s="1" t="s">
        <v>18</v>
      </c>
      <c r="D76" s="2">
        <v>28</v>
      </c>
      <c r="E76" s="2">
        <v>20</v>
      </c>
      <c r="F76" s="2">
        <v>7</v>
      </c>
      <c r="G76" s="6">
        <v>5</v>
      </c>
      <c r="H76" s="2">
        <v>100</v>
      </c>
      <c r="I76" s="2">
        <v>100</v>
      </c>
      <c r="J76" s="2">
        <v>40</v>
      </c>
      <c r="K76" s="2">
        <v>2</v>
      </c>
      <c r="L76" s="2">
        <v>2</v>
      </c>
      <c r="M76" s="2">
        <v>1</v>
      </c>
      <c r="N76" s="2">
        <v>0</v>
      </c>
      <c r="O76" s="2">
        <v>0</v>
      </c>
      <c r="P76" s="1"/>
      <c r="Q76" s="1"/>
      <c r="R76" s="7">
        <f t="shared" si="8"/>
        <v>71.428571428571431</v>
      </c>
      <c r="S76" s="15">
        <f>(AVERAGE(H76:L76))/G76</f>
        <v>9.76</v>
      </c>
      <c r="T76" s="8">
        <f t="shared" si="7"/>
        <v>6.9714285714285715</v>
      </c>
      <c r="U76" s="1"/>
      <c r="V76" s="1"/>
      <c r="W76" s="1"/>
      <c r="X76" s="1"/>
      <c r="Y76" s="1"/>
      <c r="Z76" s="1"/>
    </row>
    <row r="77" spans="1:26" ht="13" x14ac:dyDescent="0.15">
      <c r="A77" s="1" t="s">
        <v>14</v>
      </c>
      <c r="B77" s="2">
        <v>1</v>
      </c>
      <c r="C77" s="1" t="s">
        <v>18</v>
      </c>
      <c r="D77" s="2">
        <v>19</v>
      </c>
      <c r="E77" s="2">
        <v>15</v>
      </c>
      <c r="F77" s="2">
        <v>7</v>
      </c>
      <c r="G77" s="6">
        <v>4</v>
      </c>
      <c r="H77" s="2">
        <v>100</v>
      </c>
      <c r="I77" s="2">
        <v>40</v>
      </c>
      <c r="J77" s="2">
        <v>60</v>
      </c>
      <c r="K77" s="2">
        <v>20</v>
      </c>
      <c r="L77" s="2">
        <v>2</v>
      </c>
      <c r="M77" s="2">
        <v>1</v>
      </c>
      <c r="N77" s="2">
        <v>0</v>
      </c>
      <c r="O77" s="1"/>
      <c r="P77" s="1"/>
      <c r="Q77" s="1"/>
      <c r="R77" s="7">
        <f t="shared" si="8"/>
        <v>78.94736842105263</v>
      </c>
      <c r="S77" s="15">
        <f>(AVERAGE(H77:K77))/G77</f>
        <v>13.75</v>
      </c>
      <c r="T77" s="8">
        <f>(R77*S77)/100</f>
        <v>10.855263157894738</v>
      </c>
      <c r="U77" s="1"/>
      <c r="V77" s="1"/>
      <c r="W77" s="1"/>
      <c r="X77" s="1"/>
      <c r="Y77" s="1"/>
      <c r="Z77" s="1"/>
    </row>
    <row r="78" spans="1:26" ht="13" x14ac:dyDescent="0.15">
      <c r="A78" s="1" t="s">
        <v>14</v>
      </c>
      <c r="B78" s="2">
        <v>2</v>
      </c>
      <c r="C78" s="1" t="s">
        <v>18</v>
      </c>
      <c r="D78" s="2">
        <v>27</v>
      </c>
      <c r="E78" s="2">
        <v>16</v>
      </c>
      <c r="F78" s="2">
        <v>7</v>
      </c>
      <c r="G78" s="6">
        <v>4</v>
      </c>
      <c r="H78" s="2">
        <v>100</v>
      </c>
      <c r="I78" s="2">
        <v>40</v>
      </c>
      <c r="J78" s="2">
        <v>5</v>
      </c>
      <c r="K78" s="2">
        <v>1</v>
      </c>
      <c r="L78" s="2">
        <v>0</v>
      </c>
      <c r="M78" s="2">
        <v>0</v>
      </c>
      <c r="N78" s="2">
        <v>0</v>
      </c>
      <c r="O78" s="1"/>
      <c r="P78" s="1"/>
      <c r="Q78" s="1"/>
      <c r="R78" s="7">
        <f t="shared" si="8"/>
        <v>59.259259259259252</v>
      </c>
      <c r="S78" s="15">
        <f>(AVERAGE(H78:K78))/G78</f>
        <v>9.125</v>
      </c>
      <c r="T78" s="8">
        <f>(R78*S78)/100</f>
        <v>5.4074074074074066</v>
      </c>
      <c r="U78" s="1"/>
      <c r="V78" s="1"/>
      <c r="W78" s="1"/>
      <c r="X78" s="1"/>
      <c r="Y78" s="1"/>
      <c r="Z78" s="1"/>
    </row>
    <row r="79" spans="1:26" ht="13" x14ac:dyDescent="0.15">
      <c r="A79" s="1" t="s">
        <v>14</v>
      </c>
      <c r="B79" s="2">
        <v>3</v>
      </c>
      <c r="C79" s="1" t="s">
        <v>18</v>
      </c>
      <c r="D79" s="2">
        <v>23</v>
      </c>
      <c r="E79" s="2">
        <v>14</v>
      </c>
      <c r="F79" s="2">
        <v>5</v>
      </c>
      <c r="G79" s="6">
        <v>4</v>
      </c>
      <c r="H79" s="2">
        <v>100</v>
      </c>
      <c r="I79" s="2">
        <v>100</v>
      </c>
      <c r="J79" s="2">
        <v>30</v>
      </c>
      <c r="K79" s="2">
        <v>2</v>
      </c>
      <c r="L79" s="2">
        <v>0</v>
      </c>
      <c r="M79" s="2">
        <v>0</v>
      </c>
      <c r="N79" s="1"/>
      <c r="O79" s="1"/>
      <c r="P79" s="1"/>
      <c r="Q79" s="1"/>
      <c r="R79" s="7">
        <f>(E79/D79)*100</f>
        <v>60.869565217391312</v>
      </c>
      <c r="S79" s="15">
        <f>(AVERAGE(H79:K79))/G79</f>
        <v>14.5</v>
      </c>
      <c r="T79" s="8">
        <f t="shared" ref="T79:T85" si="10">(R79*S79)/100</f>
        <v>8.8260869565217401</v>
      </c>
      <c r="U79" s="1"/>
      <c r="V79" s="1"/>
      <c r="W79" s="1"/>
      <c r="X79" s="1"/>
      <c r="Y79" s="1"/>
      <c r="Z79" s="1"/>
    </row>
    <row r="80" spans="1:26" ht="13" x14ac:dyDescent="0.15">
      <c r="A80" s="1" t="s">
        <v>10</v>
      </c>
      <c r="B80" s="2">
        <v>1</v>
      </c>
      <c r="C80" s="1" t="s">
        <v>18</v>
      </c>
      <c r="D80" s="2">
        <v>19</v>
      </c>
      <c r="E80" s="2">
        <v>13</v>
      </c>
      <c r="F80" s="2">
        <v>9</v>
      </c>
      <c r="G80" s="6">
        <v>7</v>
      </c>
      <c r="H80" s="2">
        <v>100</v>
      </c>
      <c r="I80" s="2">
        <v>100</v>
      </c>
      <c r="J80" s="2">
        <v>100</v>
      </c>
      <c r="K80" s="2">
        <v>100</v>
      </c>
      <c r="L80" s="2">
        <v>40</v>
      </c>
      <c r="M80" s="2">
        <v>60</v>
      </c>
      <c r="N80" s="2">
        <v>2</v>
      </c>
      <c r="O80" s="2">
        <v>0</v>
      </c>
      <c r="P80" s="1"/>
      <c r="Q80" s="1"/>
      <c r="R80" s="7">
        <f t="shared" ref="R80:R85" si="11">(E80/D80)*100</f>
        <v>68.421052631578945</v>
      </c>
      <c r="S80" s="15">
        <f>(AVERAGE(H80:N80))/G80</f>
        <v>10.244897959183673</v>
      </c>
      <c r="T80" s="8">
        <f t="shared" si="10"/>
        <v>7.0096670247046173</v>
      </c>
      <c r="U80" s="1"/>
      <c r="V80" s="1"/>
      <c r="W80" s="1"/>
      <c r="X80" s="1"/>
      <c r="Y80" s="1"/>
      <c r="Z80" s="1"/>
    </row>
    <row r="81" spans="1:26" ht="13" x14ac:dyDescent="0.15">
      <c r="A81" s="1" t="s">
        <v>10</v>
      </c>
      <c r="B81" s="2">
        <v>2</v>
      </c>
      <c r="C81" s="1" t="s">
        <v>18</v>
      </c>
      <c r="D81" s="2">
        <v>16</v>
      </c>
      <c r="E81" s="2">
        <v>12</v>
      </c>
      <c r="F81" s="2">
        <v>8</v>
      </c>
      <c r="G81" s="6">
        <v>6</v>
      </c>
      <c r="H81" s="2">
        <v>100</v>
      </c>
      <c r="I81" s="2">
        <v>100</v>
      </c>
      <c r="J81" s="2">
        <v>60</v>
      </c>
      <c r="K81" s="2">
        <v>100</v>
      </c>
      <c r="L81" s="2">
        <v>60</v>
      </c>
      <c r="M81" s="2">
        <v>100</v>
      </c>
      <c r="N81" s="2">
        <v>1</v>
      </c>
      <c r="O81" s="2">
        <v>0</v>
      </c>
      <c r="P81" s="2">
        <v>0</v>
      </c>
      <c r="Q81" s="1"/>
      <c r="R81" s="7">
        <f t="shared" si="11"/>
        <v>75</v>
      </c>
      <c r="S81" s="15">
        <f>(AVERAGE(H81:M81))/G81</f>
        <v>14.444444444444445</v>
      </c>
      <c r="T81" s="8">
        <f t="shared" si="10"/>
        <v>10.833333333333332</v>
      </c>
      <c r="U81" s="1"/>
      <c r="V81" s="1"/>
      <c r="W81" s="1"/>
      <c r="X81" s="1"/>
      <c r="Y81" s="1"/>
      <c r="Z81" s="1"/>
    </row>
    <row r="82" spans="1:26" ht="13" x14ac:dyDescent="0.15">
      <c r="A82" s="1" t="s">
        <v>10</v>
      </c>
      <c r="B82" s="2">
        <v>3</v>
      </c>
      <c r="C82" s="1" t="s">
        <v>18</v>
      </c>
      <c r="D82" s="2">
        <v>19</v>
      </c>
      <c r="E82" s="2">
        <v>12</v>
      </c>
      <c r="F82" s="2">
        <v>7</v>
      </c>
      <c r="G82" s="6">
        <v>5</v>
      </c>
      <c r="H82" s="2">
        <v>100</v>
      </c>
      <c r="I82" s="2">
        <v>100</v>
      </c>
      <c r="J82" s="2">
        <v>100</v>
      </c>
      <c r="K82" s="2">
        <v>40</v>
      </c>
      <c r="L82" s="2">
        <v>30</v>
      </c>
      <c r="M82" s="2">
        <v>1</v>
      </c>
      <c r="N82" s="2">
        <v>0</v>
      </c>
      <c r="O82" s="2">
        <v>0</v>
      </c>
      <c r="P82" s="1"/>
      <c r="Q82" s="1"/>
      <c r="R82" s="7">
        <f t="shared" si="11"/>
        <v>63.157894736842103</v>
      </c>
      <c r="S82" s="15">
        <f>(AVERAGE(H82:L82))/G82</f>
        <v>14.8</v>
      </c>
      <c r="T82" s="8">
        <f t="shared" si="10"/>
        <v>9.3473684210526304</v>
      </c>
      <c r="U82" s="1"/>
      <c r="V82" s="1"/>
      <c r="W82" s="1"/>
      <c r="X82" s="1"/>
      <c r="Y82" s="1"/>
      <c r="Z82" s="1"/>
    </row>
    <row r="83" spans="1:26" ht="13" x14ac:dyDescent="0.15">
      <c r="A83" s="11" t="s">
        <v>11</v>
      </c>
      <c r="B83" s="2">
        <v>1</v>
      </c>
      <c r="C83" s="1" t="s">
        <v>18</v>
      </c>
      <c r="D83" s="2">
        <v>20</v>
      </c>
      <c r="E83" s="2">
        <v>17</v>
      </c>
      <c r="F83" s="2">
        <v>6</v>
      </c>
      <c r="G83" s="6">
        <v>5</v>
      </c>
      <c r="H83" s="2">
        <v>100</v>
      </c>
      <c r="I83" s="2">
        <v>100</v>
      </c>
      <c r="J83" s="2">
        <v>100</v>
      </c>
      <c r="K83" s="2">
        <v>100</v>
      </c>
      <c r="L83" s="2">
        <v>5</v>
      </c>
      <c r="M83" s="2">
        <v>0</v>
      </c>
      <c r="N83" s="1"/>
      <c r="O83" s="1"/>
      <c r="P83" s="1"/>
      <c r="Q83" s="1"/>
      <c r="R83" s="7">
        <f t="shared" si="11"/>
        <v>85</v>
      </c>
      <c r="S83" s="15">
        <f>(AVERAGE(H83:L83))/G83</f>
        <v>16.2</v>
      </c>
      <c r="T83" s="8">
        <f>(R83*S83)/100</f>
        <v>13.77</v>
      </c>
      <c r="U83" s="1"/>
      <c r="V83" s="1"/>
      <c r="W83" s="1"/>
      <c r="X83" s="1"/>
      <c r="Y83" s="1"/>
      <c r="Z83" s="1"/>
    </row>
    <row r="84" spans="1:26" ht="13" x14ac:dyDescent="0.15">
      <c r="A84" s="11" t="s">
        <v>11</v>
      </c>
      <c r="B84" s="2">
        <v>2</v>
      </c>
      <c r="C84" s="1" t="s">
        <v>18</v>
      </c>
      <c r="D84" s="2">
        <v>27</v>
      </c>
      <c r="E84" s="2">
        <v>19</v>
      </c>
      <c r="F84" s="2">
        <v>7</v>
      </c>
      <c r="G84" s="6">
        <v>6</v>
      </c>
      <c r="H84" s="2">
        <v>100</v>
      </c>
      <c r="I84" s="2">
        <v>100</v>
      </c>
      <c r="J84" s="2">
        <v>100</v>
      </c>
      <c r="K84" s="2">
        <v>100</v>
      </c>
      <c r="L84" s="2">
        <v>100</v>
      </c>
      <c r="M84" s="2">
        <v>5</v>
      </c>
      <c r="N84" s="2">
        <v>2</v>
      </c>
      <c r="O84" s="2">
        <v>0</v>
      </c>
      <c r="P84" s="2">
        <v>0</v>
      </c>
      <c r="Q84" s="1"/>
      <c r="R84" s="7">
        <f t="shared" si="11"/>
        <v>70.370370370370367</v>
      </c>
      <c r="S84" s="15">
        <f>(AVERAGE(H84:M84))/G84</f>
        <v>14.027777777777779</v>
      </c>
      <c r="T84" s="8">
        <f t="shared" si="10"/>
        <v>9.871399176954732</v>
      </c>
      <c r="U84" s="1"/>
      <c r="V84" s="1"/>
      <c r="W84" s="1"/>
      <c r="X84" s="1"/>
      <c r="Y84" s="1"/>
      <c r="Z84" s="1"/>
    </row>
    <row r="85" spans="1:26" ht="13" x14ac:dyDescent="0.15">
      <c r="A85" s="11" t="s">
        <v>11</v>
      </c>
      <c r="B85" s="2">
        <v>3</v>
      </c>
      <c r="C85" s="1" t="s">
        <v>18</v>
      </c>
      <c r="D85" s="2">
        <v>20</v>
      </c>
      <c r="E85" s="2">
        <v>17</v>
      </c>
      <c r="F85" s="2">
        <v>6</v>
      </c>
      <c r="G85" s="6">
        <v>5</v>
      </c>
      <c r="H85" s="2">
        <v>100</v>
      </c>
      <c r="I85" s="2">
        <v>100</v>
      </c>
      <c r="J85" s="2">
        <v>100</v>
      </c>
      <c r="K85" s="2">
        <v>100</v>
      </c>
      <c r="L85" s="2">
        <v>20</v>
      </c>
      <c r="M85" s="2">
        <v>5</v>
      </c>
      <c r="N85" s="2">
        <v>0</v>
      </c>
      <c r="O85" s="1"/>
      <c r="P85" s="1"/>
      <c r="Q85" s="1"/>
      <c r="R85" s="7">
        <f t="shared" si="11"/>
        <v>85</v>
      </c>
      <c r="S85" s="15">
        <f>(AVERAGE(H85:L85))/G85</f>
        <v>16.8</v>
      </c>
      <c r="T85" s="8">
        <f t="shared" si="10"/>
        <v>14.28</v>
      </c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</sheetData>
  <mergeCells count="1">
    <mergeCell ref="H2:Q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84"/>
  <sheetViews>
    <sheetView topLeftCell="A51" workbookViewId="0">
      <pane xSplit="1" topLeftCell="O1" activePane="topRight" state="frozen"/>
      <selection pane="topRight" activeCell="S72" sqref="S72:T83"/>
    </sheetView>
  </sheetViews>
  <sheetFormatPr baseColWidth="10" defaultColWidth="12.6640625" defaultRowHeight="15.75" customHeight="1" x14ac:dyDescent="0.15"/>
  <sheetData>
    <row r="1" spans="1:20" ht="15.75" customHeight="1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25</v>
      </c>
      <c r="G1" s="5" t="s">
        <v>36</v>
      </c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  <c r="P1" s="2">
        <v>9</v>
      </c>
      <c r="Q1" s="2">
        <v>10</v>
      </c>
      <c r="R1" s="2" t="s">
        <v>27</v>
      </c>
      <c r="S1" s="2" t="s">
        <v>28</v>
      </c>
      <c r="T1" s="2" t="s">
        <v>31</v>
      </c>
    </row>
    <row r="2" spans="1:20" ht="15.75" customHeight="1" x14ac:dyDescent="0.15">
      <c r="A2" s="1"/>
      <c r="B2" s="1"/>
      <c r="C2" s="1"/>
      <c r="G2" s="9"/>
      <c r="R2" s="1"/>
      <c r="S2" s="1"/>
      <c r="T2" s="1"/>
    </row>
    <row r="3" spans="1:20" ht="15.75" customHeight="1" x14ac:dyDescent="0.15">
      <c r="A3" s="1" t="s">
        <v>7</v>
      </c>
      <c r="B3" s="2">
        <v>1</v>
      </c>
      <c r="C3" s="1" t="s">
        <v>8</v>
      </c>
      <c r="D3" s="1">
        <v>27</v>
      </c>
      <c r="E3" s="1">
        <v>16</v>
      </c>
      <c r="F3" s="1">
        <v>8</v>
      </c>
      <c r="G3" s="5">
        <v>7</v>
      </c>
      <c r="H3" s="1">
        <v>100</v>
      </c>
      <c r="I3" s="1">
        <v>100</v>
      </c>
      <c r="J3" s="1">
        <v>100</v>
      </c>
      <c r="K3" s="1">
        <v>100</v>
      </c>
      <c r="L3" s="3">
        <v>20</v>
      </c>
      <c r="M3" s="3">
        <v>2</v>
      </c>
      <c r="N3" s="3">
        <v>2</v>
      </c>
      <c r="R3" s="7">
        <f>(E3/D3)*100</f>
        <v>59.259259259259252</v>
      </c>
      <c r="S3" s="15">
        <f>(AVERAGE(H3:N3))/G3</f>
        <v>8.6530612244897949</v>
      </c>
      <c r="T3" s="8">
        <f>(R3*S3)/100</f>
        <v>5.1277399848828402</v>
      </c>
    </row>
    <row r="4" spans="1:20" ht="15.75" customHeight="1" x14ac:dyDescent="0.15">
      <c r="A4" s="1" t="s">
        <v>7</v>
      </c>
      <c r="B4" s="2">
        <v>2</v>
      </c>
      <c r="C4" s="1" t="s">
        <v>8</v>
      </c>
      <c r="D4" s="2">
        <v>30</v>
      </c>
      <c r="E4" s="2">
        <v>20</v>
      </c>
      <c r="F4" s="2">
        <v>8</v>
      </c>
      <c r="G4" s="6">
        <v>6</v>
      </c>
      <c r="H4" s="2">
        <v>100</v>
      </c>
      <c r="I4" s="2">
        <v>100</v>
      </c>
      <c r="J4" s="2">
        <v>100</v>
      </c>
      <c r="K4" s="2">
        <v>100</v>
      </c>
      <c r="L4" s="3">
        <v>10</v>
      </c>
      <c r="M4" s="3">
        <v>2</v>
      </c>
      <c r="R4" s="7">
        <f t="shared" ref="R4:R67" si="0">(E4/D4)*100</f>
        <v>66.666666666666657</v>
      </c>
      <c r="S4" s="15">
        <f>(AVERAGE(H4:M4))/G4</f>
        <v>11.444444444444445</v>
      </c>
      <c r="T4" s="8">
        <f t="shared" ref="T4:T67" si="1">(R4*S4)/100</f>
        <v>7.629629629629628</v>
      </c>
    </row>
    <row r="5" spans="1:20" ht="15.75" customHeight="1" x14ac:dyDescent="0.15">
      <c r="A5" s="1" t="s">
        <v>7</v>
      </c>
      <c r="B5" s="2">
        <v>3</v>
      </c>
      <c r="C5" s="1" t="s">
        <v>8</v>
      </c>
      <c r="D5" s="2">
        <v>31</v>
      </c>
      <c r="E5" s="2">
        <v>24</v>
      </c>
      <c r="F5" s="2">
        <v>7</v>
      </c>
      <c r="G5" s="6">
        <v>6</v>
      </c>
      <c r="H5" s="2">
        <v>100</v>
      </c>
      <c r="I5" s="2">
        <v>100</v>
      </c>
      <c r="J5" s="2">
        <v>100</v>
      </c>
      <c r="K5" s="2">
        <v>100</v>
      </c>
      <c r="L5" s="3">
        <v>15</v>
      </c>
      <c r="M5" s="3">
        <v>2</v>
      </c>
      <c r="R5" s="7">
        <f t="shared" si="0"/>
        <v>77.41935483870968</v>
      </c>
      <c r="S5" s="15">
        <f>(AVERAGE(H5:M5))/G5</f>
        <v>11.583333333333334</v>
      </c>
      <c r="T5" s="8">
        <f t="shared" si="1"/>
        <v>8.9677419354838719</v>
      </c>
    </row>
    <row r="6" spans="1:20" ht="15.75" customHeight="1" x14ac:dyDescent="0.15">
      <c r="A6" s="1" t="s">
        <v>9</v>
      </c>
      <c r="B6" s="2">
        <v>1</v>
      </c>
      <c r="C6" s="1" t="s">
        <v>8</v>
      </c>
      <c r="D6" s="2">
        <v>35</v>
      </c>
      <c r="E6" s="2">
        <v>20</v>
      </c>
      <c r="F6" s="2">
        <v>8</v>
      </c>
      <c r="G6" s="6">
        <v>7</v>
      </c>
      <c r="H6" s="2">
        <v>80</v>
      </c>
      <c r="I6" s="2">
        <v>80</v>
      </c>
      <c r="J6" s="2">
        <v>60</v>
      </c>
      <c r="K6" s="2">
        <v>40</v>
      </c>
      <c r="L6" s="3">
        <v>10</v>
      </c>
      <c r="M6" s="3">
        <v>5</v>
      </c>
      <c r="N6" s="3">
        <v>2</v>
      </c>
      <c r="O6" s="3">
        <v>0</v>
      </c>
      <c r="R6" s="7">
        <f t="shared" si="0"/>
        <v>57.142857142857139</v>
      </c>
      <c r="S6" s="15">
        <f>(AVERAGE(H6:N6))/G6</f>
        <v>5.6530612244897958</v>
      </c>
      <c r="T6" s="8">
        <f t="shared" si="1"/>
        <v>3.2303206997084546</v>
      </c>
    </row>
    <row r="7" spans="1:20" ht="15.75" customHeight="1" x14ac:dyDescent="0.15">
      <c r="A7" s="1" t="s">
        <v>9</v>
      </c>
      <c r="B7" s="2">
        <v>2</v>
      </c>
      <c r="C7" s="1" t="s">
        <v>8</v>
      </c>
      <c r="D7" s="2">
        <v>38</v>
      </c>
      <c r="E7" s="2">
        <v>30</v>
      </c>
      <c r="F7" s="2">
        <v>8</v>
      </c>
      <c r="G7" s="6">
        <v>6</v>
      </c>
      <c r="H7" s="2">
        <v>100</v>
      </c>
      <c r="I7" s="2">
        <v>100</v>
      </c>
      <c r="J7" s="2">
        <v>60</v>
      </c>
      <c r="K7" s="2">
        <v>30</v>
      </c>
      <c r="L7" s="3">
        <v>10</v>
      </c>
      <c r="M7" s="3">
        <v>2</v>
      </c>
      <c r="N7" s="3">
        <v>0</v>
      </c>
      <c r="O7" s="3">
        <v>0</v>
      </c>
      <c r="R7" s="7">
        <f t="shared" si="0"/>
        <v>78.94736842105263</v>
      </c>
      <c r="S7" s="15">
        <f>(AVERAGE(H7:M7))/G7</f>
        <v>8.3888888888888893</v>
      </c>
      <c r="T7" s="8">
        <f t="shared" si="1"/>
        <v>6.6228070175438596</v>
      </c>
    </row>
    <row r="8" spans="1:20" ht="15.75" customHeight="1" x14ac:dyDescent="0.15">
      <c r="A8" s="1" t="s">
        <v>9</v>
      </c>
      <c r="B8" s="2">
        <v>3</v>
      </c>
      <c r="C8" s="1" t="s">
        <v>8</v>
      </c>
      <c r="D8" s="2">
        <v>38</v>
      </c>
      <c r="E8" s="2">
        <v>30</v>
      </c>
      <c r="F8" s="2">
        <v>8</v>
      </c>
      <c r="G8" s="6">
        <v>6</v>
      </c>
      <c r="H8" s="2">
        <v>100</v>
      </c>
      <c r="I8" s="2">
        <v>100</v>
      </c>
      <c r="J8" s="2">
        <v>60</v>
      </c>
      <c r="K8" s="2">
        <v>20</v>
      </c>
      <c r="L8" s="3">
        <v>10</v>
      </c>
      <c r="M8" s="3">
        <v>2</v>
      </c>
      <c r="N8" s="3">
        <v>0</v>
      </c>
      <c r="O8" s="3">
        <v>0</v>
      </c>
      <c r="R8" s="7">
        <f t="shared" si="0"/>
        <v>78.94736842105263</v>
      </c>
      <c r="S8" s="15">
        <f>(AVERAGE(H8:M8))/G8</f>
        <v>8.1111111111111107</v>
      </c>
      <c r="T8" s="8">
        <f t="shared" si="1"/>
        <v>6.4035087719298245</v>
      </c>
    </row>
    <row r="9" spans="1:20" ht="15.75" customHeight="1" x14ac:dyDescent="0.1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R9" s="7"/>
      <c r="S9" s="15"/>
      <c r="T9" s="8"/>
    </row>
    <row r="10" spans="1:20" ht="15.75" customHeight="1" x14ac:dyDescent="0.1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R10" s="7"/>
      <c r="S10" s="15"/>
      <c r="T10" s="8"/>
    </row>
    <row r="11" spans="1:20" ht="15.75" customHeight="1" x14ac:dyDescent="0.15">
      <c r="A11" s="1" t="s">
        <v>10</v>
      </c>
      <c r="B11" s="1"/>
      <c r="C11" s="1"/>
      <c r="D11" s="1"/>
      <c r="E11" s="1"/>
      <c r="F11" s="1"/>
      <c r="G11" s="5"/>
      <c r="H11" s="1"/>
      <c r="I11" s="1"/>
      <c r="J11" s="1"/>
      <c r="K11" s="1"/>
      <c r="R11" s="7"/>
      <c r="S11" s="15"/>
      <c r="T11" s="8"/>
    </row>
    <row r="12" spans="1:20" ht="15.75" customHeight="1" x14ac:dyDescent="0.15">
      <c r="A12" s="1" t="s">
        <v>10</v>
      </c>
      <c r="B12" s="2">
        <v>1</v>
      </c>
      <c r="C12" s="1" t="s">
        <v>8</v>
      </c>
      <c r="D12" s="2">
        <v>15</v>
      </c>
      <c r="E12" s="2">
        <v>10</v>
      </c>
      <c r="F12" s="2">
        <v>11</v>
      </c>
      <c r="G12" s="6">
        <v>7</v>
      </c>
      <c r="H12" s="2">
        <v>100</v>
      </c>
      <c r="I12" s="2">
        <v>100</v>
      </c>
      <c r="J12" s="2">
        <v>100</v>
      </c>
      <c r="K12" s="2">
        <v>100</v>
      </c>
      <c r="L12" s="3">
        <v>60</v>
      </c>
      <c r="M12" s="3">
        <v>5</v>
      </c>
      <c r="N12" s="2">
        <v>0</v>
      </c>
      <c r="R12" s="7">
        <f t="shared" si="0"/>
        <v>66.666666666666657</v>
      </c>
      <c r="S12" s="15">
        <f>(AVERAGE(H12:N12))/G12</f>
        <v>9.4897959183673475</v>
      </c>
      <c r="T12" s="8">
        <f t="shared" si="1"/>
        <v>6.3265306122448974</v>
      </c>
    </row>
    <row r="13" spans="1:20" ht="15.75" customHeight="1" x14ac:dyDescent="0.15">
      <c r="A13" s="1" t="s">
        <v>10</v>
      </c>
      <c r="B13" s="2">
        <v>2</v>
      </c>
      <c r="C13" s="1" t="s">
        <v>8</v>
      </c>
      <c r="D13" s="2">
        <v>17</v>
      </c>
      <c r="E13" s="2">
        <v>9</v>
      </c>
      <c r="F13" s="2">
        <v>9</v>
      </c>
      <c r="G13" s="6">
        <v>7</v>
      </c>
      <c r="H13" s="2">
        <v>100</v>
      </c>
      <c r="I13" s="2">
        <v>100</v>
      </c>
      <c r="J13" s="2">
        <v>100</v>
      </c>
      <c r="K13" s="2">
        <v>100</v>
      </c>
      <c r="L13" s="3">
        <v>100</v>
      </c>
      <c r="M13" s="3">
        <v>10</v>
      </c>
      <c r="N13" s="3">
        <v>5</v>
      </c>
      <c r="R13" s="7">
        <f t="shared" si="0"/>
        <v>52.941176470588239</v>
      </c>
      <c r="S13" s="15">
        <f>(AVERAGE(H13:N13))/G13</f>
        <v>10.510204081632653</v>
      </c>
      <c r="T13" s="8">
        <f t="shared" si="1"/>
        <v>5.5642256902761105</v>
      </c>
    </row>
    <row r="14" spans="1:20" ht="15.75" customHeight="1" x14ac:dyDescent="0.15">
      <c r="A14" s="1" t="s">
        <v>10</v>
      </c>
      <c r="B14" s="2">
        <v>3</v>
      </c>
      <c r="C14" s="1" t="s">
        <v>8</v>
      </c>
      <c r="D14" s="2">
        <v>15</v>
      </c>
      <c r="E14" s="2">
        <v>10</v>
      </c>
      <c r="F14" s="2">
        <v>11</v>
      </c>
      <c r="G14" s="6">
        <v>8</v>
      </c>
      <c r="H14" s="2">
        <v>100</v>
      </c>
      <c r="I14" s="2">
        <v>100</v>
      </c>
      <c r="J14" s="2">
        <v>100</v>
      </c>
      <c r="K14" s="2">
        <v>1090</v>
      </c>
      <c r="L14" s="3">
        <v>100</v>
      </c>
      <c r="M14" s="3">
        <v>800</v>
      </c>
      <c r="N14" s="3">
        <v>10</v>
      </c>
      <c r="O14" s="3">
        <v>2</v>
      </c>
      <c r="R14" s="7">
        <f t="shared" si="0"/>
        <v>66.666666666666657</v>
      </c>
      <c r="S14" s="15">
        <f>(AVERAGE(H14:O14))/G14</f>
        <v>35.96875</v>
      </c>
      <c r="T14" s="8">
        <f t="shared" si="1"/>
        <v>23.979166666666664</v>
      </c>
    </row>
    <row r="15" spans="1:20" ht="15.75" customHeight="1" x14ac:dyDescent="0.15">
      <c r="A15" s="11" t="s">
        <v>11</v>
      </c>
      <c r="B15" s="2">
        <v>1</v>
      </c>
      <c r="C15" s="1" t="s">
        <v>8</v>
      </c>
      <c r="D15" s="2">
        <v>35</v>
      </c>
      <c r="E15" s="2">
        <v>21</v>
      </c>
      <c r="F15" s="2">
        <v>9</v>
      </c>
      <c r="G15" s="6">
        <v>7</v>
      </c>
      <c r="H15" s="2">
        <v>100</v>
      </c>
      <c r="I15" s="2">
        <v>100</v>
      </c>
      <c r="J15" s="2">
        <v>100</v>
      </c>
      <c r="K15" s="2">
        <v>100</v>
      </c>
      <c r="L15" s="3">
        <v>20</v>
      </c>
      <c r="M15" s="3">
        <v>2</v>
      </c>
      <c r="N15" s="3">
        <v>3</v>
      </c>
      <c r="R15" s="7">
        <f t="shared" si="0"/>
        <v>60</v>
      </c>
      <c r="S15" s="15">
        <f>(AVERAGE(H15:N15))/G15</f>
        <v>8.6734693877551017</v>
      </c>
      <c r="T15" s="8">
        <f t="shared" si="1"/>
        <v>5.204081632653061</v>
      </c>
    </row>
    <row r="16" spans="1:20" ht="15.75" customHeight="1" x14ac:dyDescent="0.15">
      <c r="A16" s="11" t="s">
        <v>11</v>
      </c>
      <c r="B16" s="2">
        <v>2</v>
      </c>
      <c r="C16" s="1" t="s">
        <v>8</v>
      </c>
      <c r="D16" s="2">
        <v>30</v>
      </c>
      <c r="E16" s="2">
        <v>29</v>
      </c>
      <c r="F16" s="2">
        <v>7</v>
      </c>
      <c r="G16" s="6">
        <v>7</v>
      </c>
      <c r="H16" s="2">
        <v>100</v>
      </c>
      <c r="I16" s="2">
        <v>100</v>
      </c>
      <c r="J16" s="2">
        <v>100</v>
      </c>
      <c r="K16" s="2">
        <v>85</v>
      </c>
      <c r="L16" s="3">
        <v>30</v>
      </c>
      <c r="M16" s="3">
        <v>2</v>
      </c>
      <c r="N16" s="3">
        <v>2</v>
      </c>
      <c r="R16" s="7">
        <f t="shared" si="0"/>
        <v>96.666666666666671</v>
      </c>
      <c r="S16" s="15">
        <f>(AVERAGE(H16:N16))/G16</f>
        <v>8.5510204081632644</v>
      </c>
      <c r="T16" s="8">
        <f t="shared" si="1"/>
        <v>8.2659863945578227</v>
      </c>
    </row>
    <row r="17" spans="1:20" ht="15.75" customHeight="1" x14ac:dyDescent="0.15">
      <c r="A17" s="11" t="s">
        <v>11</v>
      </c>
      <c r="B17" s="2">
        <v>3</v>
      </c>
      <c r="C17" s="1" t="s">
        <v>8</v>
      </c>
      <c r="D17" s="2">
        <v>30.5</v>
      </c>
      <c r="E17" s="2">
        <v>19</v>
      </c>
      <c r="F17" s="2">
        <v>8</v>
      </c>
      <c r="G17" s="6">
        <v>6</v>
      </c>
      <c r="H17" s="2">
        <v>100</v>
      </c>
      <c r="I17" s="2">
        <v>100</v>
      </c>
      <c r="J17" s="2">
        <v>100</v>
      </c>
      <c r="K17" s="2">
        <v>100</v>
      </c>
      <c r="L17" s="3">
        <v>15</v>
      </c>
      <c r="M17" s="3">
        <v>2</v>
      </c>
      <c r="R17" s="7">
        <f t="shared" si="0"/>
        <v>62.295081967213115</v>
      </c>
      <c r="S17" s="15">
        <f>(AVERAGE(H17:M17))/G17</f>
        <v>11.583333333333334</v>
      </c>
      <c r="T17" s="8">
        <f t="shared" si="1"/>
        <v>7.2158469945355197</v>
      </c>
    </row>
    <row r="18" spans="1:20" ht="15.75" customHeight="1" x14ac:dyDescent="0.15">
      <c r="A18" s="1"/>
      <c r="B18" s="1"/>
      <c r="C18" s="1"/>
      <c r="D18" s="1"/>
      <c r="E18" s="1"/>
      <c r="F18" s="1"/>
      <c r="G18" s="5"/>
      <c r="H18" s="1"/>
      <c r="I18" s="1"/>
      <c r="J18" s="1"/>
      <c r="K18" s="1"/>
      <c r="R18" s="7"/>
      <c r="S18" s="15"/>
      <c r="T18" s="8"/>
    </row>
    <row r="19" spans="1:20" ht="15.75" customHeight="1" x14ac:dyDescent="0.15">
      <c r="A19" s="1" t="s">
        <v>12</v>
      </c>
      <c r="B19" s="2">
        <v>1</v>
      </c>
      <c r="C19" s="1" t="s">
        <v>13</v>
      </c>
      <c r="D19" s="2">
        <v>32</v>
      </c>
      <c r="E19" s="2"/>
      <c r="F19" s="2"/>
      <c r="G19" s="5"/>
      <c r="H19" s="1"/>
      <c r="I19" s="1"/>
      <c r="J19" s="1"/>
      <c r="K19" s="1"/>
      <c r="R19" s="7"/>
      <c r="S19" s="15"/>
      <c r="T19" s="8"/>
    </row>
    <row r="20" spans="1:20" ht="15.75" customHeight="1" x14ac:dyDescent="0.15">
      <c r="A20" s="1" t="s">
        <v>12</v>
      </c>
      <c r="B20" s="2">
        <v>2</v>
      </c>
      <c r="C20" s="1" t="s">
        <v>13</v>
      </c>
      <c r="D20" s="2">
        <v>27</v>
      </c>
      <c r="E20" s="2"/>
      <c r="F20" s="2"/>
      <c r="G20" s="5"/>
      <c r="H20" s="1"/>
      <c r="I20" s="1"/>
      <c r="J20" s="1"/>
      <c r="K20" s="1"/>
      <c r="R20" s="7"/>
      <c r="S20" s="15"/>
      <c r="T20" s="8"/>
    </row>
    <row r="21" spans="1:20" ht="15.75" customHeight="1" x14ac:dyDescent="0.15">
      <c r="A21" s="1" t="s">
        <v>12</v>
      </c>
      <c r="B21" s="2">
        <v>3</v>
      </c>
      <c r="C21" s="1" t="s">
        <v>13</v>
      </c>
      <c r="D21" s="2">
        <v>26</v>
      </c>
      <c r="E21" s="2"/>
      <c r="F21" s="2"/>
      <c r="G21" s="5"/>
      <c r="H21" s="1"/>
      <c r="I21" s="1"/>
      <c r="J21" s="1"/>
      <c r="K21" s="1"/>
      <c r="R21" s="7"/>
      <c r="S21" s="15"/>
      <c r="T21" s="8"/>
    </row>
    <row r="22" spans="1:20" ht="15.75" customHeight="1" x14ac:dyDescent="0.15">
      <c r="A22" s="1" t="s">
        <v>14</v>
      </c>
      <c r="B22" s="2">
        <v>1</v>
      </c>
      <c r="C22" s="1" t="s">
        <v>13</v>
      </c>
      <c r="D22" s="2">
        <v>35</v>
      </c>
      <c r="E22" s="2"/>
      <c r="F22" s="2"/>
      <c r="G22" s="5"/>
      <c r="H22" s="1"/>
      <c r="I22" s="1"/>
      <c r="J22" s="1"/>
      <c r="K22" s="1"/>
      <c r="R22" s="7"/>
      <c r="S22" s="15"/>
      <c r="T22" s="8"/>
    </row>
    <row r="23" spans="1:20" ht="15.75" customHeight="1" x14ac:dyDescent="0.15">
      <c r="A23" s="1" t="s">
        <v>14</v>
      </c>
      <c r="B23" s="2">
        <v>2</v>
      </c>
      <c r="C23" s="1" t="s">
        <v>13</v>
      </c>
      <c r="D23" s="2">
        <v>31</v>
      </c>
      <c r="E23" s="2"/>
      <c r="F23" s="2"/>
      <c r="G23" s="5"/>
      <c r="H23" s="1"/>
      <c r="I23" s="1"/>
      <c r="J23" s="1"/>
      <c r="K23" s="1"/>
      <c r="R23" s="7"/>
      <c r="S23" s="15"/>
      <c r="T23" s="8"/>
    </row>
    <row r="24" spans="1:20" ht="15.75" customHeight="1" x14ac:dyDescent="0.15">
      <c r="A24" s="1" t="s">
        <v>14</v>
      </c>
      <c r="B24" s="2">
        <v>3</v>
      </c>
      <c r="C24" s="1" t="s">
        <v>13</v>
      </c>
      <c r="D24" s="2">
        <v>35</v>
      </c>
      <c r="E24" s="2"/>
      <c r="F24" s="2"/>
      <c r="G24" s="5"/>
      <c r="H24" s="1"/>
      <c r="I24" s="1"/>
      <c r="J24" s="1"/>
      <c r="K24" s="1"/>
      <c r="R24" s="7"/>
      <c r="S24" s="15"/>
      <c r="T24" s="8"/>
    </row>
    <row r="25" spans="1:20" ht="16" x14ac:dyDescent="0.2">
      <c r="A25" s="1" t="s">
        <v>10</v>
      </c>
      <c r="B25" s="2">
        <v>1</v>
      </c>
      <c r="C25" s="1" t="s">
        <v>13</v>
      </c>
      <c r="D25" s="4">
        <v>13.5</v>
      </c>
      <c r="E25" s="2"/>
      <c r="F25" s="1"/>
      <c r="G25" s="10"/>
      <c r="H25" s="1"/>
      <c r="I25" s="4"/>
      <c r="J25" s="1"/>
      <c r="K25" s="1"/>
      <c r="L25" s="1"/>
      <c r="M25" s="1"/>
      <c r="N25" s="1"/>
      <c r="O25" s="1"/>
      <c r="P25" s="1"/>
      <c r="Q25" s="1"/>
      <c r="R25" s="7"/>
      <c r="S25" s="15"/>
      <c r="T25" s="8"/>
    </row>
    <row r="26" spans="1:20" ht="15.75" customHeight="1" x14ac:dyDescent="0.15">
      <c r="A26" s="1" t="s">
        <v>10</v>
      </c>
      <c r="B26" s="2">
        <v>2</v>
      </c>
      <c r="C26" s="1" t="s">
        <v>13</v>
      </c>
      <c r="D26" s="2">
        <v>12</v>
      </c>
      <c r="E26" s="2"/>
      <c r="F26" s="2"/>
      <c r="G26" s="5"/>
      <c r="H26" s="1"/>
      <c r="I26" s="1"/>
      <c r="J26" s="1"/>
      <c r="K26" s="1"/>
      <c r="R26" s="7"/>
      <c r="S26" s="15"/>
      <c r="T26" s="8"/>
    </row>
    <row r="27" spans="1:20" ht="15.75" customHeight="1" x14ac:dyDescent="0.15">
      <c r="A27" s="1" t="s">
        <v>10</v>
      </c>
      <c r="B27" s="2">
        <v>3</v>
      </c>
      <c r="C27" s="1" t="s">
        <v>13</v>
      </c>
      <c r="D27" s="2">
        <v>13</v>
      </c>
      <c r="E27" s="2"/>
      <c r="F27" s="2"/>
      <c r="G27" s="5"/>
      <c r="H27" s="1"/>
      <c r="I27" s="1"/>
      <c r="J27" s="1"/>
      <c r="K27" s="1"/>
      <c r="R27" s="7"/>
      <c r="S27" s="15"/>
      <c r="T27" s="8"/>
    </row>
    <row r="28" spans="1:20" ht="15.75" customHeight="1" x14ac:dyDescent="0.15">
      <c r="A28" s="11" t="s">
        <v>11</v>
      </c>
      <c r="B28" s="2">
        <v>1</v>
      </c>
      <c r="C28" s="1" t="s">
        <v>13</v>
      </c>
      <c r="D28" s="2">
        <v>25</v>
      </c>
      <c r="E28" s="2"/>
      <c r="F28" s="2"/>
      <c r="G28" s="5"/>
      <c r="H28" s="1"/>
      <c r="I28" s="1"/>
      <c r="J28" s="1"/>
      <c r="K28" s="1"/>
      <c r="R28" s="7"/>
      <c r="S28" s="15"/>
      <c r="T28" s="8"/>
    </row>
    <row r="29" spans="1:20" ht="15.75" customHeight="1" x14ac:dyDescent="0.15">
      <c r="A29" s="11" t="s">
        <v>11</v>
      </c>
      <c r="B29" s="2">
        <v>2</v>
      </c>
      <c r="C29" s="1" t="s">
        <v>13</v>
      </c>
      <c r="D29" s="2">
        <v>35</v>
      </c>
      <c r="E29" s="2"/>
      <c r="F29" s="2"/>
      <c r="G29" s="5"/>
      <c r="H29" s="1"/>
      <c r="I29" s="1"/>
      <c r="J29" s="1"/>
      <c r="K29" s="1"/>
      <c r="R29" s="7"/>
      <c r="S29" s="15"/>
      <c r="T29" s="8"/>
    </row>
    <row r="30" spans="1:20" ht="15.75" customHeight="1" x14ac:dyDescent="0.15">
      <c r="A30" s="11" t="s">
        <v>11</v>
      </c>
      <c r="B30" s="2">
        <v>3</v>
      </c>
      <c r="C30" s="1" t="s">
        <v>13</v>
      </c>
      <c r="D30" s="2">
        <v>35</v>
      </c>
      <c r="E30" s="2"/>
      <c r="F30" s="2"/>
      <c r="G30" s="5"/>
      <c r="H30" s="1"/>
      <c r="I30" s="1"/>
      <c r="J30" s="1"/>
      <c r="K30" s="1"/>
      <c r="R30" s="7"/>
      <c r="S30" s="15"/>
      <c r="T30" s="8"/>
    </row>
    <row r="31" spans="1:20" ht="15.75" customHeight="1" x14ac:dyDescent="0.15">
      <c r="A31" s="1"/>
      <c r="B31" s="1"/>
      <c r="C31" s="1"/>
      <c r="D31" s="1"/>
      <c r="E31" s="1"/>
      <c r="F31" s="1"/>
      <c r="G31" s="5"/>
      <c r="H31" s="1"/>
      <c r="I31" s="1"/>
      <c r="J31" s="1"/>
      <c r="K31" s="1"/>
      <c r="R31" s="7"/>
      <c r="S31" s="15"/>
      <c r="T31" s="8"/>
    </row>
    <row r="32" spans="1:20" ht="15.75" customHeight="1" x14ac:dyDescent="0.15">
      <c r="A32" s="1" t="s">
        <v>12</v>
      </c>
      <c r="B32" s="2">
        <v>1</v>
      </c>
      <c r="C32" s="1" t="s">
        <v>15</v>
      </c>
      <c r="D32" s="2"/>
      <c r="E32" s="2"/>
      <c r="F32" s="2"/>
      <c r="G32" s="6"/>
      <c r="H32" s="2"/>
      <c r="I32" s="2"/>
      <c r="J32" s="2"/>
      <c r="K32" s="2"/>
      <c r="R32" s="7"/>
      <c r="S32" s="15"/>
      <c r="T32" s="8"/>
    </row>
    <row r="33" spans="1:20" ht="15.75" customHeight="1" x14ac:dyDescent="0.15">
      <c r="A33" s="1" t="s">
        <v>12</v>
      </c>
      <c r="B33" s="2">
        <v>2</v>
      </c>
      <c r="C33" s="1" t="s">
        <v>15</v>
      </c>
      <c r="D33" s="2"/>
      <c r="E33" s="2"/>
      <c r="F33" s="2"/>
      <c r="G33" s="6"/>
      <c r="H33" s="2"/>
      <c r="I33" s="2"/>
      <c r="J33" s="2"/>
      <c r="K33" s="2"/>
      <c r="R33" s="7"/>
      <c r="S33" s="15"/>
      <c r="T33" s="8"/>
    </row>
    <row r="34" spans="1:20" ht="15.75" customHeight="1" x14ac:dyDescent="0.15">
      <c r="A34" s="1" t="s">
        <v>12</v>
      </c>
      <c r="B34" s="2">
        <v>3</v>
      </c>
      <c r="C34" s="1" t="s">
        <v>15</v>
      </c>
      <c r="D34" s="2"/>
      <c r="E34" s="2"/>
      <c r="F34" s="2"/>
      <c r="G34" s="6"/>
      <c r="H34" s="2"/>
      <c r="I34" s="2"/>
      <c r="J34" s="2"/>
      <c r="K34" s="2"/>
      <c r="R34" s="7"/>
      <c r="S34" s="15"/>
      <c r="T34" s="8"/>
    </row>
    <row r="35" spans="1:20" ht="15.75" customHeight="1" x14ac:dyDescent="0.15">
      <c r="A35" s="1" t="s">
        <v>14</v>
      </c>
      <c r="B35" s="2">
        <v>1</v>
      </c>
      <c r="C35" s="1" t="s">
        <v>15</v>
      </c>
      <c r="D35" s="2">
        <v>38</v>
      </c>
      <c r="E35" s="2">
        <v>22</v>
      </c>
      <c r="F35" s="2">
        <v>8</v>
      </c>
      <c r="G35" s="6">
        <v>7</v>
      </c>
      <c r="H35" s="2">
        <v>100</v>
      </c>
      <c r="I35" s="2">
        <v>100</v>
      </c>
      <c r="J35" s="2">
        <v>60</v>
      </c>
      <c r="K35" s="2">
        <v>20</v>
      </c>
      <c r="L35" s="3">
        <v>5</v>
      </c>
      <c r="M35" s="3">
        <v>5</v>
      </c>
      <c r="N35" s="3">
        <v>2</v>
      </c>
      <c r="O35" s="3">
        <v>0</v>
      </c>
      <c r="R35" s="7">
        <f t="shared" si="0"/>
        <v>57.894736842105267</v>
      </c>
      <c r="S35" s="15">
        <f>(AVERAGE(H35:N35))/G35</f>
        <v>5.9591836734693882</v>
      </c>
      <c r="T35" s="8">
        <f t="shared" si="1"/>
        <v>3.4500537056928038</v>
      </c>
    </row>
    <row r="36" spans="1:20" ht="15.75" customHeight="1" x14ac:dyDescent="0.15">
      <c r="A36" s="1" t="s">
        <v>14</v>
      </c>
      <c r="B36" s="2">
        <v>2</v>
      </c>
      <c r="C36" s="1" t="s">
        <v>15</v>
      </c>
      <c r="D36" s="2">
        <v>38</v>
      </c>
      <c r="E36" s="2">
        <v>29</v>
      </c>
      <c r="F36" s="2">
        <v>8</v>
      </c>
      <c r="G36" s="6">
        <v>7</v>
      </c>
      <c r="H36" s="2">
        <v>100</v>
      </c>
      <c r="I36" s="2">
        <v>100</v>
      </c>
      <c r="J36" s="2">
        <v>60</v>
      </c>
      <c r="K36" s="2">
        <v>40</v>
      </c>
      <c r="L36" s="3">
        <v>20</v>
      </c>
      <c r="M36" s="3">
        <v>5</v>
      </c>
      <c r="N36" s="3">
        <v>5</v>
      </c>
      <c r="O36" s="3">
        <v>0</v>
      </c>
      <c r="R36" s="7">
        <f t="shared" si="0"/>
        <v>76.31578947368422</v>
      </c>
      <c r="S36" s="15">
        <f>(AVERAGE(H36:N36))/G36</f>
        <v>6.7346938775510212</v>
      </c>
      <c r="T36" s="8">
        <f t="shared" si="1"/>
        <v>5.1396348012889383</v>
      </c>
    </row>
    <row r="37" spans="1:20" ht="15.75" customHeight="1" x14ac:dyDescent="0.15">
      <c r="A37" s="1" t="s">
        <v>14</v>
      </c>
      <c r="B37" s="2">
        <v>3</v>
      </c>
      <c r="C37" s="1" t="s">
        <v>15</v>
      </c>
      <c r="D37" s="1">
        <v>40</v>
      </c>
      <c r="E37" s="1">
        <v>31</v>
      </c>
      <c r="F37" s="1">
        <v>8</v>
      </c>
      <c r="G37" s="5">
        <v>6</v>
      </c>
      <c r="H37" s="1">
        <v>100</v>
      </c>
      <c r="I37" s="1">
        <v>80</v>
      </c>
      <c r="J37" s="1">
        <v>20</v>
      </c>
      <c r="K37" s="1">
        <v>40</v>
      </c>
      <c r="L37" s="3">
        <v>2</v>
      </c>
      <c r="M37" s="3">
        <v>2</v>
      </c>
      <c r="N37" s="3">
        <v>0</v>
      </c>
      <c r="O37" s="3">
        <v>0</v>
      </c>
      <c r="R37" s="7">
        <f t="shared" si="0"/>
        <v>77.5</v>
      </c>
      <c r="S37" s="15">
        <f>(AVERAGE(H37:M37))/G37</f>
        <v>6.7777777777777777</v>
      </c>
      <c r="T37" s="8">
        <f t="shared" si="1"/>
        <v>5.2527777777777773</v>
      </c>
    </row>
    <row r="38" spans="1:20" ht="16" x14ac:dyDescent="0.2">
      <c r="A38" s="1" t="s">
        <v>10</v>
      </c>
      <c r="B38" s="2">
        <v>1</v>
      </c>
      <c r="C38" s="1" t="s">
        <v>15</v>
      </c>
      <c r="D38" s="4">
        <v>14</v>
      </c>
      <c r="E38" s="4">
        <v>12</v>
      </c>
      <c r="F38" s="4">
        <v>11</v>
      </c>
      <c r="G38" s="6">
        <v>10</v>
      </c>
      <c r="H38" s="2">
        <v>100</v>
      </c>
      <c r="I38" s="2">
        <v>100</v>
      </c>
      <c r="J38" s="2">
        <v>100</v>
      </c>
      <c r="K38" s="2">
        <v>100</v>
      </c>
      <c r="L38" s="2">
        <v>100</v>
      </c>
      <c r="M38" s="2">
        <v>100</v>
      </c>
      <c r="N38" s="2">
        <v>40</v>
      </c>
      <c r="O38" s="2">
        <v>20</v>
      </c>
      <c r="P38" s="3">
        <v>5</v>
      </c>
      <c r="Q38" s="3">
        <v>2</v>
      </c>
      <c r="R38" s="7">
        <f t="shared" si="0"/>
        <v>85.714285714285708</v>
      </c>
      <c r="S38" s="15">
        <f>(AVERAGE(H38:Q38))/G38</f>
        <v>6.67</v>
      </c>
      <c r="T38" s="8">
        <f t="shared" si="1"/>
        <v>5.7171428571428571</v>
      </c>
    </row>
    <row r="39" spans="1:20" ht="15.75" customHeight="1" x14ac:dyDescent="0.15">
      <c r="A39" s="1" t="s">
        <v>10</v>
      </c>
      <c r="B39" s="2">
        <v>2</v>
      </c>
      <c r="C39" s="1" t="s">
        <v>15</v>
      </c>
      <c r="D39" s="2">
        <v>12</v>
      </c>
      <c r="E39" s="2"/>
      <c r="F39" s="2">
        <v>10</v>
      </c>
      <c r="G39" s="6">
        <v>9</v>
      </c>
      <c r="H39" s="2">
        <v>100</v>
      </c>
      <c r="I39" s="2">
        <v>100</v>
      </c>
      <c r="J39" s="2">
        <v>100</v>
      </c>
      <c r="K39" s="2">
        <v>100</v>
      </c>
      <c r="L39" s="3">
        <v>50</v>
      </c>
      <c r="M39" s="3">
        <v>2</v>
      </c>
      <c r="N39" s="3">
        <v>2</v>
      </c>
      <c r="O39" s="3">
        <v>1</v>
      </c>
      <c r="R39" s="7"/>
      <c r="S39" s="15"/>
      <c r="T39" s="8"/>
    </row>
    <row r="40" spans="1:20" ht="15.75" customHeight="1" x14ac:dyDescent="0.15">
      <c r="A40" s="1" t="s">
        <v>10</v>
      </c>
      <c r="B40" s="2">
        <v>3</v>
      </c>
      <c r="C40" s="1" t="s">
        <v>15</v>
      </c>
      <c r="D40" s="2">
        <v>14</v>
      </c>
      <c r="E40" s="2">
        <v>10.5</v>
      </c>
      <c r="F40" s="2">
        <v>10</v>
      </c>
      <c r="G40" s="6">
        <v>7</v>
      </c>
      <c r="H40" s="2">
        <v>100</v>
      </c>
      <c r="I40" s="2">
        <v>100</v>
      </c>
      <c r="J40" s="2">
        <v>100</v>
      </c>
      <c r="K40" s="2">
        <v>100</v>
      </c>
      <c r="L40" s="3">
        <v>10</v>
      </c>
      <c r="M40" s="3">
        <v>2</v>
      </c>
      <c r="N40" s="3">
        <v>1</v>
      </c>
      <c r="R40" s="7">
        <f>(E40/D40)*100</f>
        <v>75</v>
      </c>
      <c r="S40" s="15">
        <f>(AVERAGE(H40:N40))/G40</f>
        <v>8.4285714285714288</v>
      </c>
      <c r="T40" s="8">
        <f t="shared" si="1"/>
        <v>6.3214285714285712</v>
      </c>
    </row>
    <row r="41" spans="1:20" ht="15.75" customHeight="1" x14ac:dyDescent="0.15">
      <c r="A41" s="11" t="s">
        <v>11</v>
      </c>
      <c r="B41" s="2">
        <v>1</v>
      </c>
      <c r="C41" s="1" t="s">
        <v>15</v>
      </c>
      <c r="D41" s="2">
        <v>35</v>
      </c>
      <c r="E41" s="2">
        <v>22</v>
      </c>
      <c r="F41" s="2">
        <v>9</v>
      </c>
      <c r="G41" s="6">
        <v>9</v>
      </c>
      <c r="H41" s="2">
        <v>100</v>
      </c>
      <c r="I41" s="2">
        <v>100</v>
      </c>
      <c r="J41" s="2">
        <v>100</v>
      </c>
      <c r="K41" s="1">
        <v>100</v>
      </c>
      <c r="L41" s="3">
        <v>100</v>
      </c>
      <c r="M41" s="3">
        <v>85</v>
      </c>
      <c r="N41" s="3">
        <v>2</v>
      </c>
      <c r="O41" s="3">
        <v>2</v>
      </c>
      <c r="P41" s="3">
        <v>2</v>
      </c>
      <c r="R41" s="7">
        <f t="shared" si="0"/>
        <v>62.857142857142854</v>
      </c>
      <c r="S41" s="15">
        <f>(AVERAGE(H41:P41))/G41</f>
        <v>7.2962962962962967</v>
      </c>
      <c r="T41" s="8">
        <f>(R41*S41)/100</f>
        <v>4.5862433862433862</v>
      </c>
    </row>
    <row r="42" spans="1:20" ht="13" x14ac:dyDescent="0.15">
      <c r="A42" s="11" t="s">
        <v>11</v>
      </c>
      <c r="B42" s="2">
        <v>2</v>
      </c>
      <c r="C42" s="1" t="s">
        <v>15</v>
      </c>
      <c r="D42" s="2">
        <v>34.5</v>
      </c>
      <c r="E42" s="2">
        <v>18</v>
      </c>
      <c r="F42" s="2">
        <v>8</v>
      </c>
      <c r="G42" s="6">
        <v>6</v>
      </c>
      <c r="H42" s="2">
        <v>100</v>
      </c>
      <c r="I42" s="2">
        <v>100</v>
      </c>
      <c r="J42" s="2">
        <v>100</v>
      </c>
      <c r="K42" s="2">
        <v>100</v>
      </c>
      <c r="L42" s="3">
        <v>85</v>
      </c>
      <c r="M42" s="3">
        <v>2</v>
      </c>
      <c r="R42" s="7">
        <f t="shared" si="0"/>
        <v>52.173913043478258</v>
      </c>
      <c r="S42" s="15">
        <f>(AVERAGE(H42:M42))/G42</f>
        <v>13.527777777777779</v>
      </c>
      <c r="T42" s="8">
        <f t="shared" si="1"/>
        <v>7.0579710144927539</v>
      </c>
    </row>
    <row r="43" spans="1:20" ht="13" x14ac:dyDescent="0.15">
      <c r="A43" s="11" t="s">
        <v>11</v>
      </c>
      <c r="B43" s="2">
        <v>3</v>
      </c>
      <c r="C43" s="1" t="s">
        <v>15</v>
      </c>
      <c r="D43" s="2">
        <v>34.5</v>
      </c>
      <c r="E43" s="2">
        <v>19</v>
      </c>
      <c r="F43" s="2">
        <v>8</v>
      </c>
      <c r="G43" s="6">
        <v>6</v>
      </c>
      <c r="H43" s="2">
        <v>100</v>
      </c>
      <c r="I43" s="2">
        <v>100</v>
      </c>
      <c r="J43" s="2">
        <v>100</v>
      </c>
      <c r="K43" s="1">
        <v>100</v>
      </c>
      <c r="L43" s="3">
        <v>100</v>
      </c>
      <c r="M43" s="3">
        <v>2</v>
      </c>
      <c r="R43" s="7">
        <f t="shared" si="0"/>
        <v>55.072463768115945</v>
      </c>
      <c r="S43" s="15">
        <f>(AVERAGE(H43:M43))/G43</f>
        <v>13.944444444444445</v>
      </c>
      <c r="T43" s="8">
        <f t="shared" si="1"/>
        <v>7.6795491143317234</v>
      </c>
    </row>
    <row r="44" spans="1:20" ht="13" x14ac:dyDescent="0.15">
      <c r="A44" s="1"/>
      <c r="B44" s="1"/>
      <c r="C44" s="1"/>
      <c r="D44" s="1"/>
      <c r="E44" s="1"/>
      <c r="F44" s="1"/>
      <c r="G44" s="5"/>
      <c r="H44" s="1"/>
      <c r="I44" s="1"/>
      <c r="J44" s="1"/>
      <c r="K44" s="1"/>
      <c r="R44" s="7"/>
      <c r="S44" s="15"/>
      <c r="T44" s="8"/>
    </row>
    <row r="45" spans="1:20" ht="13" x14ac:dyDescent="0.15">
      <c r="A45" s="1" t="s">
        <v>12</v>
      </c>
      <c r="B45" s="2">
        <v>1</v>
      </c>
      <c r="C45" s="1" t="s">
        <v>16</v>
      </c>
      <c r="D45" s="2">
        <v>32</v>
      </c>
      <c r="E45" s="2">
        <v>24.5</v>
      </c>
      <c r="F45" s="2">
        <v>7</v>
      </c>
      <c r="G45" s="6">
        <v>6</v>
      </c>
      <c r="H45" s="2">
        <v>100</v>
      </c>
      <c r="I45" s="2">
        <v>100</v>
      </c>
      <c r="J45" s="2">
        <v>100</v>
      </c>
      <c r="K45" s="2">
        <v>100</v>
      </c>
      <c r="L45" s="3">
        <v>10</v>
      </c>
      <c r="M45" s="3">
        <v>5</v>
      </c>
      <c r="R45" s="7">
        <f t="shared" si="0"/>
        <v>76.5625</v>
      </c>
      <c r="S45" s="15">
        <f>(AVERAGE(H45:M45))/G45</f>
        <v>11.527777777777779</v>
      </c>
      <c r="T45" s="8">
        <f t="shared" si="1"/>
        <v>8.8259548611111125</v>
      </c>
    </row>
    <row r="46" spans="1:20" ht="13" x14ac:dyDescent="0.15">
      <c r="A46" s="1" t="s">
        <v>12</v>
      </c>
      <c r="B46" s="2">
        <v>2</v>
      </c>
      <c r="C46" s="1" t="s">
        <v>16</v>
      </c>
      <c r="D46" s="2">
        <v>32</v>
      </c>
      <c r="E46" s="2">
        <v>27</v>
      </c>
      <c r="F46" s="2">
        <v>8</v>
      </c>
      <c r="G46" s="6">
        <v>7</v>
      </c>
      <c r="H46" s="2">
        <v>100</v>
      </c>
      <c r="I46" s="2">
        <v>100</v>
      </c>
      <c r="J46" s="2">
        <v>100</v>
      </c>
      <c r="K46" s="2">
        <v>100</v>
      </c>
      <c r="L46" s="3">
        <v>20</v>
      </c>
      <c r="M46" s="3">
        <v>5</v>
      </c>
      <c r="N46" s="3">
        <v>2</v>
      </c>
      <c r="R46" s="7">
        <f t="shared" si="0"/>
        <v>84.375</v>
      </c>
      <c r="S46" s="15">
        <f>(AVERAGE(H46:N46))/G46</f>
        <v>8.7142857142857135</v>
      </c>
      <c r="T46" s="8">
        <f t="shared" si="1"/>
        <v>7.3526785714285712</v>
      </c>
    </row>
    <row r="47" spans="1:20" ht="13" x14ac:dyDescent="0.15">
      <c r="A47" s="1" t="s">
        <v>12</v>
      </c>
      <c r="B47" s="2">
        <v>3</v>
      </c>
      <c r="C47" s="1" t="s">
        <v>16</v>
      </c>
      <c r="D47" s="2">
        <v>28</v>
      </c>
      <c r="E47" s="2">
        <v>18.21</v>
      </c>
      <c r="F47" s="2">
        <v>8</v>
      </c>
      <c r="G47" s="6">
        <v>6</v>
      </c>
      <c r="H47" s="2">
        <v>100</v>
      </c>
      <c r="I47" s="2">
        <v>100</v>
      </c>
      <c r="J47" s="2">
        <v>100</v>
      </c>
      <c r="K47" s="2">
        <v>100</v>
      </c>
      <c r="L47" s="3">
        <v>10</v>
      </c>
      <c r="M47" s="3">
        <v>2</v>
      </c>
      <c r="R47" s="7">
        <f t="shared" si="0"/>
        <v>65.035714285714292</v>
      </c>
      <c r="S47" s="15">
        <f>(AVERAGE(H47:M47))/G47</f>
        <v>11.444444444444445</v>
      </c>
      <c r="T47" s="8">
        <f t="shared" si="1"/>
        <v>7.4429761904761911</v>
      </c>
    </row>
    <row r="48" spans="1:20" ht="13" x14ac:dyDescent="0.15">
      <c r="A48" s="1" t="s">
        <v>14</v>
      </c>
      <c r="B48" s="2">
        <v>1</v>
      </c>
      <c r="C48" s="1" t="s">
        <v>16</v>
      </c>
      <c r="D48" s="2">
        <v>35</v>
      </c>
      <c r="E48" s="2">
        <v>25</v>
      </c>
      <c r="F48" s="2">
        <v>8</v>
      </c>
      <c r="G48" s="6">
        <v>7</v>
      </c>
      <c r="H48" s="2">
        <v>100</v>
      </c>
      <c r="I48" s="2">
        <v>100</v>
      </c>
      <c r="J48" s="2">
        <v>80</v>
      </c>
      <c r="K48" s="2">
        <v>50</v>
      </c>
      <c r="L48" s="3">
        <v>20</v>
      </c>
      <c r="M48" s="3">
        <v>10</v>
      </c>
      <c r="N48" s="3">
        <v>2</v>
      </c>
      <c r="O48" s="3">
        <v>0</v>
      </c>
      <c r="R48" s="7">
        <f t="shared" si="0"/>
        <v>71.428571428571431</v>
      </c>
      <c r="S48" s="15">
        <f>(AVERAGE(H48:N48))/G48</f>
        <v>7.3877551020408161</v>
      </c>
      <c r="T48" s="8">
        <f t="shared" si="1"/>
        <v>5.276967930029155</v>
      </c>
    </row>
    <row r="49" spans="1:20" ht="13" x14ac:dyDescent="0.15">
      <c r="A49" s="1" t="s">
        <v>14</v>
      </c>
      <c r="B49" s="2">
        <v>2</v>
      </c>
      <c r="C49" s="1" t="s">
        <v>16</v>
      </c>
      <c r="D49" s="2">
        <v>37</v>
      </c>
      <c r="E49" s="2">
        <v>27</v>
      </c>
      <c r="F49" s="2">
        <v>8</v>
      </c>
      <c r="G49" s="6">
        <v>6</v>
      </c>
      <c r="H49" s="2">
        <v>100</v>
      </c>
      <c r="I49" s="2">
        <v>100</v>
      </c>
      <c r="J49" s="2">
        <v>60</v>
      </c>
      <c r="K49" s="2">
        <v>30</v>
      </c>
      <c r="L49" s="3">
        <v>10</v>
      </c>
      <c r="M49" s="3">
        <v>2</v>
      </c>
      <c r="N49" s="3">
        <v>0</v>
      </c>
      <c r="O49" s="3">
        <v>0</v>
      </c>
      <c r="R49" s="7">
        <f t="shared" si="0"/>
        <v>72.972972972972968</v>
      </c>
      <c r="S49" s="15">
        <f>(AVERAGE(H49:M49))/G49</f>
        <v>8.3888888888888893</v>
      </c>
      <c r="T49" s="8">
        <f t="shared" si="1"/>
        <v>6.1216216216216219</v>
      </c>
    </row>
    <row r="50" spans="1:20" ht="13" x14ac:dyDescent="0.15">
      <c r="A50" s="1" t="s">
        <v>14</v>
      </c>
      <c r="B50" s="2">
        <v>3</v>
      </c>
      <c r="C50" s="1" t="s">
        <v>16</v>
      </c>
      <c r="D50" s="2">
        <v>39</v>
      </c>
      <c r="E50" s="2">
        <v>30</v>
      </c>
      <c r="F50" s="2">
        <v>8</v>
      </c>
      <c r="G50" s="6">
        <v>7</v>
      </c>
      <c r="H50" s="2">
        <v>100</v>
      </c>
      <c r="I50" s="2">
        <v>100</v>
      </c>
      <c r="J50" s="2">
        <v>60</v>
      </c>
      <c r="K50" s="2">
        <v>40</v>
      </c>
      <c r="L50" s="3">
        <v>20</v>
      </c>
      <c r="M50" s="3">
        <v>10</v>
      </c>
      <c r="N50" s="3">
        <v>2</v>
      </c>
      <c r="O50" s="3">
        <v>0</v>
      </c>
      <c r="R50" s="7">
        <f t="shared" si="0"/>
        <v>76.923076923076934</v>
      </c>
      <c r="S50" s="15">
        <f>(AVERAGE(H50:N50))/G50</f>
        <v>6.7755102040816331</v>
      </c>
      <c r="T50" s="8">
        <f t="shared" si="1"/>
        <v>5.2119309262166418</v>
      </c>
    </row>
    <row r="51" spans="1:20" ht="13" x14ac:dyDescent="0.15">
      <c r="A51" s="1" t="s">
        <v>10</v>
      </c>
      <c r="B51" s="2">
        <v>1</v>
      </c>
      <c r="C51" s="1" t="s">
        <v>16</v>
      </c>
      <c r="D51" s="2">
        <v>17</v>
      </c>
      <c r="E51" s="2">
        <v>8.5</v>
      </c>
      <c r="F51" s="2">
        <v>9</v>
      </c>
      <c r="G51" s="6">
        <v>7</v>
      </c>
      <c r="H51" s="2">
        <v>100</v>
      </c>
      <c r="I51" s="2">
        <v>100</v>
      </c>
      <c r="J51" s="2">
        <v>100</v>
      </c>
      <c r="K51" s="2">
        <v>100</v>
      </c>
      <c r="L51" s="3">
        <v>100</v>
      </c>
      <c r="M51" s="3">
        <v>30</v>
      </c>
      <c r="N51" s="3">
        <v>2</v>
      </c>
      <c r="O51" s="3">
        <v>1</v>
      </c>
      <c r="P51" s="3">
        <v>1</v>
      </c>
      <c r="R51" s="7">
        <f t="shared" si="0"/>
        <v>50</v>
      </c>
      <c r="S51" s="15">
        <f>(AVERAGE(H51:N51))/G51</f>
        <v>10.857142857142858</v>
      </c>
      <c r="T51" s="8">
        <f t="shared" si="1"/>
        <v>5.4285714285714288</v>
      </c>
    </row>
    <row r="52" spans="1:20" ht="13" x14ac:dyDescent="0.15">
      <c r="A52" s="1" t="s">
        <v>10</v>
      </c>
      <c r="B52" s="2">
        <v>2</v>
      </c>
      <c r="C52" s="1" t="s">
        <v>16</v>
      </c>
      <c r="D52" s="2">
        <v>16</v>
      </c>
      <c r="E52" s="2">
        <v>9.5</v>
      </c>
      <c r="F52" s="2">
        <v>11</v>
      </c>
      <c r="G52" s="6">
        <v>9</v>
      </c>
      <c r="H52" s="2">
        <v>100</v>
      </c>
      <c r="I52" s="2">
        <v>100</v>
      </c>
      <c r="J52" s="2">
        <v>100</v>
      </c>
      <c r="K52" s="2">
        <v>100</v>
      </c>
      <c r="L52" s="3">
        <v>100</v>
      </c>
      <c r="M52" s="3">
        <v>20</v>
      </c>
      <c r="N52" s="3">
        <v>2</v>
      </c>
      <c r="R52" s="7">
        <f t="shared" si="0"/>
        <v>59.375</v>
      </c>
      <c r="S52" s="15">
        <f>(AVERAGE(H52:P52))/G52</f>
        <v>8.2857142857142847</v>
      </c>
      <c r="T52" s="8">
        <f t="shared" si="1"/>
        <v>4.9196428571428568</v>
      </c>
    </row>
    <row r="53" spans="1:20" ht="13" x14ac:dyDescent="0.15">
      <c r="A53" s="1" t="s">
        <v>10</v>
      </c>
      <c r="B53" s="2">
        <v>3</v>
      </c>
      <c r="C53" s="1" t="s">
        <v>16</v>
      </c>
      <c r="D53" s="2">
        <v>13</v>
      </c>
      <c r="E53" s="2">
        <v>9</v>
      </c>
      <c r="F53" s="2">
        <v>9</v>
      </c>
      <c r="G53" s="6">
        <v>6</v>
      </c>
      <c r="H53" s="2">
        <v>100</v>
      </c>
      <c r="I53" s="2">
        <v>100</v>
      </c>
      <c r="J53" s="2">
        <v>100</v>
      </c>
      <c r="K53" s="2">
        <v>100</v>
      </c>
      <c r="L53" s="3">
        <v>100</v>
      </c>
      <c r="M53" s="3">
        <v>10</v>
      </c>
      <c r="N53" s="3">
        <v>2</v>
      </c>
      <c r="R53" s="7">
        <f t="shared" si="0"/>
        <v>69.230769230769226</v>
      </c>
      <c r="S53" s="15">
        <f>(AVERAGE(H53:M53))/G53</f>
        <v>14.166666666666666</v>
      </c>
      <c r="T53" s="8">
        <f t="shared" si="1"/>
        <v>9.8076923076923066</v>
      </c>
    </row>
    <row r="54" spans="1:20" ht="13" x14ac:dyDescent="0.15">
      <c r="A54" s="11" t="s">
        <v>11</v>
      </c>
      <c r="B54" s="2">
        <v>1</v>
      </c>
      <c r="C54" s="1" t="s">
        <v>16</v>
      </c>
      <c r="D54" s="2">
        <v>45</v>
      </c>
      <c r="E54" s="2">
        <v>44</v>
      </c>
      <c r="F54" s="2">
        <v>9</v>
      </c>
      <c r="G54" s="6">
        <v>8</v>
      </c>
      <c r="H54" s="2">
        <v>100</v>
      </c>
      <c r="I54" s="2">
        <v>100</v>
      </c>
      <c r="J54" s="2">
        <v>100</v>
      </c>
      <c r="K54" s="2">
        <v>100</v>
      </c>
      <c r="L54" s="3">
        <v>100</v>
      </c>
      <c r="M54" s="3">
        <v>100</v>
      </c>
      <c r="N54" s="3">
        <v>85</v>
      </c>
      <c r="O54" s="3">
        <v>2</v>
      </c>
      <c r="P54" s="3">
        <v>2</v>
      </c>
      <c r="R54" s="7">
        <f t="shared" si="0"/>
        <v>97.777777777777771</v>
      </c>
      <c r="S54" s="15">
        <f>(AVERAGE(H54:O54))/G54</f>
        <v>10.734375</v>
      </c>
      <c r="T54" s="8">
        <f t="shared" si="1"/>
        <v>10.495833333333332</v>
      </c>
    </row>
    <row r="55" spans="1:20" ht="13" x14ac:dyDescent="0.15">
      <c r="A55" s="11" t="s">
        <v>11</v>
      </c>
      <c r="B55" s="2">
        <v>2</v>
      </c>
      <c r="C55" s="1" t="s">
        <v>16</v>
      </c>
      <c r="D55" s="2">
        <v>34</v>
      </c>
      <c r="E55" s="2">
        <v>25</v>
      </c>
      <c r="F55" s="2">
        <v>7</v>
      </c>
      <c r="G55" s="6">
        <v>7</v>
      </c>
      <c r="H55" s="2">
        <v>100</v>
      </c>
      <c r="I55" s="2">
        <v>100</v>
      </c>
      <c r="J55" s="2">
        <v>100</v>
      </c>
      <c r="K55" s="2">
        <v>100</v>
      </c>
      <c r="L55" s="3">
        <v>100</v>
      </c>
      <c r="M55" s="3">
        <v>12</v>
      </c>
      <c r="N55" s="3">
        <v>2</v>
      </c>
      <c r="R55" s="7">
        <f t="shared" si="0"/>
        <v>73.529411764705884</v>
      </c>
      <c r="S55" s="15">
        <f>(AVERAGE(H55:N55))/G55</f>
        <v>10.489795918367347</v>
      </c>
      <c r="T55" s="8">
        <f t="shared" si="1"/>
        <v>7.7130852340936382</v>
      </c>
    </row>
    <row r="56" spans="1:20" ht="13" x14ac:dyDescent="0.15">
      <c r="A56" s="11" t="s">
        <v>11</v>
      </c>
      <c r="B56" s="2">
        <v>3</v>
      </c>
      <c r="C56" s="1" t="s">
        <v>16</v>
      </c>
      <c r="D56" s="2">
        <v>33</v>
      </c>
      <c r="E56" s="2">
        <v>22</v>
      </c>
      <c r="F56" s="2">
        <v>9</v>
      </c>
      <c r="G56" s="6">
        <v>8</v>
      </c>
      <c r="H56" s="2">
        <v>100</v>
      </c>
      <c r="I56" s="2">
        <v>100</v>
      </c>
      <c r="J56" s="2">
        <v>100</v>
      </c>
      <c r="K56" s="2">
        <v>100</v>
      </c>
      <c r="L56" s="3">
        <v>100</v>
      </c>
      <c r="M56" s="3">
        <v>30</v>
      </c>
      <c r="N56" s="3">
        <v>2</v>
      </c>
      <c r="O56" s="3">
        <v>2</v>
      </c>
      <c r="R56" s="7">
        <f t="shared" si="0"/>
        <v>66.666666666666657</v>
      </c>
      <c r="S56" s="15">
        <f>(AVERAGE(H56:O56))/G56</f>
        <v>8.34375</v>
      </c>
      <c r="T56" s="8">
        <f t="shared" si="1"/>
        <v>5.5624999999999991</v>
      </c>
    </row>
    <row r="57" spans="1:20" ht="13" x14ac:dyDescent="0.15">
      <c r="A57" s="1"/>
      <c r="B57" s="1"/>
      <c r="C57" s="1"/>
      <c r="D57" s="1"/>
      <c r="E57" s="1"/>
      <c r="F57" s="1"/>
      <c r="G57" s="5"/>
      <c r="H57" s="1"/>
      <c r="I57" s="1"/>
      <c r="J57" s="1"/>
      <c r="K57" s="1"/>
      <c r="R57" s="7"/>
      <c r="S57" s="15"/>
      <c r="T57" s="8"/>
    </row>
    <row r="58" spans="1:20" ht="13" x14ac:dyDescent="0.15">
      <c r="A58" s="1"/>
      <c r="B58" s="1"/>
      <c r="C58" s="1"/>
      <c r="D58" s="1"/>
      <c r="E58" s="1"/>
      <c r="F58" s="1"/>
      <c r="G58" s="5"/>
      <c r="H58" s="1"/>
      <c r="I58" s="1"/>
      <c r="J58" s="1"/>
      <c r="K58" s="1"/>
      <c r="R58" s="7"/>
      <c r="S58" s="15"/>
      <c r="T58" s="8"/>
    </row>
    <row r="59" spans="1:20" ht="13" x14ac:dyDescent="0.15">
      <c r="A59" s="1" t="s">
        <v>12</v>
      </c>
      <c r="B59" s="2">
        <v>1</v>
      </c>
      <c r="C59" s="1" t="s">
        <v>17</v>
      </c>
      <c r="D59" s="2">
        <v>26</v>
      </c>
      <c r="E59" s="2">
        <v>18</v>
      </c>
      <c r="F59" s="2">
        <v>7</v>
      </c>
      <c r="G59" s="6">
        <v>6</v>
      </c>
      <c r="H59" s="2">
        <v>100</v>
      </c>
      <c r="I59" s="2">
        <v>100</v>
      </c>
      <c r="J59" s="2">
        <v>100</v>
      </c>
      <c r="K59" s="2">
        <v>10</v>
      </c>
      <c r="L59" s="3">
        <v>2</v>
      </c>
      <c r="M59" s="3">
        <v>2</v>
      </c>
      <c r="N59" s="3">
        <v>2</v>
      </c>
      <c r="R59" s="7">
        <f>(E59/D59)*100</f>
        <v>69.230769230769226</v>
      </c>
      <c r="S59" s="15">
        <f>(AVERAGE(H59:M59))/G59</f>
        <v>8.7222222222222232</v>
      </c>
      <c r="T59" s="8">
        <f t="shared" si="1"/>
        <v>6.0384615384615392</v>
      </c>
    </row>
    <row r="60" spans="1:20" ht="13" x14ac:dyDescent="0.15">
      <c r="A60" s="1" t="s">
        <v>12</v>
      </c>
      <c r="B60" s="2">
        <v>2</v>
      </c>
      <c r="C60" s="1" t="s">
        <v>17</v>
      </c>
      <c r="D60" s="2">
        <v>34.5</v>
      </c>
      <c r="E60" s="2">
        <v>21</v>
      </c>
      <c r="F60" s="2">
        <v>8</v>
      </c>
      <c r="G60" s="6">
        <v>7</v>
      </c>
      <c r="H60" s="2">
        <v>100</v>
      </c>
      <c r="I60" s="2">
        <v>100</v>
      </c>
      <c r="J60" s="2">
        <v>100</v>
      </c>
      <c r="K60" s="2">
        <v>40</v>
      </c>
      <c r="L60" s="3">
        <v>10</v>
      </c>
      <c r="M60" s="3">
        <v>2</v>
      </c>
      <c r="N60" s="3">
        <v>1</v>
      </c>
      <c r="R60" s="7">
        <f t="shared" si="0"/>
        <v>60.869565217391312</v>
      </c>
      <c r="S60" s="15">
        <f>(AVERAGE(H60:N60))/G60</f>
        <v>7.2040816326530619</v>
      </c>
      <c r="T60" s="8">
        <f t="shared" si="1"/>
        <v>4.3850931677018643</v>
      </c>
    </row>
    <row r="61" spans="1:20" ht="13" x14ac:dyDescent="0.15">
      <c r="A61" s="1" t="s">
        <v>12</v>
      </c>
      <c r="B61" s="2">
        <v>3</v>
      </c>
      <c r="C61" s="1" t="s">
        <v>17</v>
      </c>
      <c r="D61" s="2">
        <v>32</v>
      </c>
      <c r="E61" s="2">
        <v>23.5</v>
      </c>
      <c r="F61" s="2">
        <v>8</v>
      </c>
      <c r="G61" s="6">
        <v>7</v>
      </c>
      <c r="H61" s="2">
        <v>100</v>
      </c>
      <c r="I61" s="2">
        <v>100</v>
      </c>
      <c r="J61" s="2">
        <v>100</v>
      </c>
      <c r="K61" s="2">
        <v>40</v>
      </c>
      <c r="L61" s="3">
        <v>5</v>
      </c>
      <c r="M61" s="3">
        <v>2</v>
      </c>
      <c r="N61" s="3">
        <v>1</v>
      </c>
      <c r="R61" s="7">
        <f t="shared" si="0"/>
        <v>73.4375</v>
      </c>
      <c r="S61" s="15">
        <f>(AVERAGE(H61:N61))/G61</f>
        <v>7.1020408163265305</v>
      </c>
      <c r="T61" s="8">
        <f t="shared" si="1"/>
        <v>5.2155612244897966</v>
      </c>
    </row>
    <row r="62" spans="1:20" ht="13" x14ac:dyDescent="0.15">
      <c r="A62" s="1" t="s">
        <v>14</v>
      </c>
      <c r="B62" s="2">
        <v>1</v>
      </c>
      <c r="C62" s="1" t="s">
        <v>17</v>
      </c>
      <c r="D62" s="2">
        <v>36</v>
      </c>
      <c r="E62" s="2">
        <v>22</v>
      </c>
      <c r="F62" s="2">
        <v>9</v>
      </c>
      <c r="G62" s="6">
        <v>7</v>
      </c>
      <c r="H62" s="2">
        <v>80</v>
      </c>
      <c r="I62" s="2">
        <v>80</v>
      </c>
      <c r="J62" s="2">
        <v>80</v>
      </c>
      <c r="K62" s="2">
        <v>50</v>
      </c>
      <c r="L62" s="3">
        <v>20</v>
      </c>
      <c r="M62" s="3">
        <v>10</v>
      </c>
      <c r="N62" s="3">
        <v>2</v>
      </c>
      <c r="O62" s="3">
        <v>0</v>
      </c>
      <c r="P62" s="3">
        <v>0</v>
      </c>
      <c r="R62" s="7">
        <f t="shared" si="0"/>
        <v>61.111111111111114</v>
      </c>
      <c r="S62" s="15">
        <f>(AVERAGE(H62:N62))/G62</f>
        <v>6.5714285714285712</v>
      </c>
      <c r="T62" s="8">
        <f t="shared" si="1"/>
        <v>4.0158730158730158</v>
      </c>
    </row>
    <row r="63" spans="1:20" ht="13" x14ac:dyDescent="0.15">
      <c r="A63" s="1" t="s">
        <v>14</v>
      </c>
      <c r="B63" s="2">
        <v>2</v>
      </c>
      <c r="C63" s="1" t="s">
        <v>17</v>
      </c>
      <c r="D63" s="2">
        <v>39</v>
      </c>
      <c r="E63" s="2">
        <v>25</v>
      </c>
      <c r="F63" s="2">
        <v>9</v>
      </c>
      <c r="G63" s="6">
        <v>8</v>
      </c>
      <c r="H63" s="2">
        <v>80</v>
      </c>
      <c r="I63" s="2">
        <v>80</v>
      </c>
      <c r="J63" s="2">
        <v>100</v>
      </c>
      <c r="K63" s="2">
        <v>50</v>
      </c>
      <c r="L63" s="3">
        <v>20</v>
      </c>
      <c r="M63" s="3">
        <v>10</v>
      </c>
      <c r="N63" s="3">
        <v>5</v>
      </c>
      <c r="O63" s="3">
        <v>2</v>
      </c>
      <c r="P63" s="3">
        <v>0</v>
      </c>
      <c r="R63" s="7">
        <f t="shared" si="0"/>
        <v>64.102564102564102</v>
      </c>
      <c r="S63" s="15">
        <f>(AVERAGE(H63:O63))/G63</f>
        <v>5.421875</v>
      </c>
      <c r="T63" s="8">
        <f t="shared" si="1"/>
        <v>3.4755608974358974</v>
      </c>
    </row>
    <row r="64" spans="1:20" ht="13" x14ac:dyDescent="0.15">
      <c r="A64" s="1" t="s">
        <v>14</v>
      </c>
      <c r="B64" s="2">
        <v>3</v>
      </c>
      <c r="C64" s="1" t="s">
        <v>17</v>
      </c>
      <c r="D64" s="2">
        <v>36</v>
      </c>
      <c r="E64" s="2">
        <v>28</v>
      </c>
      <c r="F64" s="2">
        <v>9</v>
      </c>
      <c r="G64" s="6">
        <v>6</v>
      </c>
      <c r="H64" s="2">
        <v>100</v>
      </c>
      <c r="I64" s="2">
        <v>100</v>
      </c>
      <c r="J64" s="2">
        <v>100</v>
      </c>
      <c r="K64" s="2">
        <v>50</v>
      </c>
      <c r="L64" s="3">
        <v>20</v>
      </c>
      <c r="M64" s="3">
        <v>5</v>
      </c>
      <c r="N64" s="3">
        <v>0</v>
      </c>
      <c r="O64" s="3">
        <v>0</v>
      </c>
      <c r="P64" s="3">
        <v>0</v>
      </c>
      <c r="R64" s="7">
        <f t="shared" si="0"/>
        <v>77.777777777777786</v>
      </c>
      <c r="S64" s="15">
        <f>(AVERAGE(H64:M64))/G64</f>
        <v>10.416666666666666</v>
      </c>
      <c r="T64" s="8">
        <f t="shared" si="1"/>
        <v>8.101851851851853</v>
      </c>
    </row>
    <row r="65" spans="1:20" ht="13" x14ac:dyDescent="0.15">
      <c r="A65" s="1" t="s">
        <v>10</v>
      </c>
      <c r="B65" s="2">
        <v>1</v>
      </c>
      <c r="C65" s="1" t="s">
        <v>17</v>
      </c>
      <c r="D65" s="2">
        <v>14</v>
      </c>
      <c r="E65" s="2">
        <v>13</v>
      </c>
      <c r="F65" s="2">
        <v>9</v>
      </c>
      <c r="G65" s="6">
        <v>9</v>
      </c>
      <c r="H65" s="2">
        <v>100</v>
      </c>
      <c r="I65" s="2">
        <v>100</v>
      </c>
      <c r="J65" s="2">
        <v>100</v>
      </c>
      <c r="K65" s="2">
        <v>100</v>
      </c>
      <c r="L65" s="3">
        <v>100</v>
      </c>
      <c r="M65" s="3">
        <v>40</v>
      </c>
      <c r="N65" s="3">
        <v>20</v>
      </c>
      <c r="O65" s="3">
        <v>2</v>
      </c>
      <c r="P65" s="3">
        <v>1</v>
      </c>
      <c r="R65" s="7">
        <f t="shared" si="0"/>
        <v>92.857142857142861</v>
      </c>
      <c r="S65" s="15">
        <f>(AVERAGE(H65:P65))/G65</f>
        <v>6.9506172839506171</v>
      </c>
      <c r="T65" s="8">
        <f t="shared" si="1"/>
        <v>6.4541446208112871</v>
      </c>
    </row>
    <row r="66" spans="1:20" ht="13" x14ac:dyDescent="0.15">
      <c r="A66" s="1" t="s">
        <v>10</v>
      </c>
      <c r="B66" s="2">
        <v>2</v>
      </c>
      <c r="C66" s="1" t="s">
        <v>17</v>
      </c>
      <c r="D66" s="2">
        <v>17</v>
      </c>
      <c r="E66" s="2"/>
      <c r="F66" s="2">
        <v>15</v>
      </c>
      <c r="G66" s="6">
        <v>9</v>
      </c>
      <c r="H66" s="2">
        <v>100</v>
      </c>
      <c r="I66" s="2">
        <v>100</v>
      </c>
      <c r="J66" s="2">
        <v>100</v>
      </c>
      <c r="K66" s="2">
        <v>100</v>
      </c>
      <c r="L66" s="3">
        <v>100</v>
      </c>
      <c r="M66" s="3">
        <v>30</v>
      </c>
      <c r="N66" s="3">
        <v>10</v>
      </c>
      <c r="O66" s="3">
        <v>5</v>
      </c>
      <c r="P66" s="3">
        <v>2</v>
      </c>
      <c r="R66" s="7"/>
      <c r="S66" s="15"/>
      <c r="T66" s="8"/>
    </row>
    <row r="67" spans="1:20" ht="13" x14ac:dyDescent="0.15">
      <c r="A67" s="1" t="s">
        <v>10</v>
      </c>
      <c r="B67" s="2">
        <v>3</v>
      </c>
      <c r="C67" s="1" t="s">
        <v>17</v>
      </c>
      <c r="D67" s="2">
        <v>15.5</v>
      </c>
      <c r="E67" s="2">
        <v>13.5</v>
      </c>
      <c r="F67" s="2">
        <v>11</v>
      </c>
      <c r="G67" s="6">
        <v>9</v>
      </c>
      <c r="H67" s="2">
        <v>100</v>
      </c>
      <c r="I67" s="2">
        <v>100</v>
      </c>
      <c r="J67" s="2">
        <v>100</v>
      </c>
      <c r="K67" s="2">
        <v>100</v>
      </c>
      <c r="L67" s="3">
        <v>100</v>
      </c>
      <c r="M67" s="3">
        <v>50</v>
      </c>
      <c r="N67" s="3">
        <v>5</v>
      </c>
      <c r="O67" s="3">
        <v>5</v>
      </c>
      <c r="P67" s="3">
        <v>5</v>
      </c>
      <c r="R67" s="7">
        <f t="shared" si="0"/>
        <v>87.096774193548384</v>
      </c>
      <c r="S67" s="15">
        <f>(AVERAGE(H67:P67))/G67</f>
        <v>6.9753086419753085</v>
      </c>
      <c r="T67" s="8">
        <f t="shared" si="1"/>
        <v>6.075268817204301</v>
      </c>
    </row>
    <row r="68" spans="1:20" ht="13" x14ac:dyDescent="0.15">
      <c r="A68" s="11" t="s">
        <v>11</v>
      </c>
      <c r="B68" s="2">
        <v>1</v>
      </c>
      <c r="C68" s="1" t="s">
        <v>17</v>
      </c>
      <c r="D68" s="2">
        <v>26.5</v>
      </c>
      <c r="E68" s="2">
        <v>23</v>
      </c>
      <c r="F68" s="2">
        <v>8</v>
      </c>
      <c r="G68" s="6">
        <v>6</v>
      </c>
      <c r="H68" s="2">
        <v>100</v>
      </c>
      <c r="I68" s="2">
        <v>100</v>
      </c>
      <c r="J68" s="2">
        <v>100</v>
      </c>
      <c r="K68" s="2">
        <v>100</v>
      </c>
      <c r="L68" s="3">
        <v>10</v>
      </c>
      <c r="M68" s="3">
        <v>2</v>
      </c>
      <c r="R68" s="7">
        <f t="shared" ref="R68:R69" si="2">(E68/D68)*100</f>
        <v>86.79245283018868</v>
      </c>
      <c r="S68" s="15">
        <f>(AVERAGE(H68:M68))/G68</f>
        <v>11.444444444444445</v>
      </c>
      <c r="T68" s="8">
        <f t="shared" ref="T68" si="3">(R68*S68)/100</f>
        <v>9.9329140461215939</v>
      </c>
    </row>
    <row r="69" spans="1:20" ht="13" x14ac:dyDescent="0.15">
      <c r="A69" s="11" t="s">
        <v>11</v>
      </c>
      <c r="B69" s="2">
        <v>2</v>
      </c>
      <c r="C69" s="1" t="s">
        <v>17</v>
      </c>
      <c r="D69" s="2">
        <v>45</v>
      </c>
      <c r="E69" s="2">
        <v>22</v>
      </c>
      <c r="F69" s="2">
        <v>7</v>
      </c>
      <c r="G69" s="6">
        <v>6</v>
      </c>
      <c r="H69" s="2">
        <v>100</v>
      </c>
      <c r="I69" s="2">
        <v>100</v>
      </c>
      <c r="J69" s="2">
        <v>100</v>
      </c>
      <c r="K69" s="2">
        <v>100</v>
      </c>
      <c r="L69" s="3">
        <v>85</v>
      </c>
      <c r="M69" s="3">
        <v>2</v>
      </c>
      <c r="R69" s="7">
        <f t="shared" si="2"/>
        <v>48.888888888888886</v>
      </c>
      <c r="S69" s="15">
        <f>(AVERAGE(H69:M69))/G69</f>
        <v>13.527777777777779</v>
      </c>
      <c r="T69" s="8">
        <f>(R69*S69)/100</f>
        <v>6.61358024691358</v>
      </c>
    </row>
    <row r="70" spans="1:20" ht="13" x14ac:dyDescent="0.15">
      <c r="A70" s="11" t="s">
        <v>11</v>
      </c>
      <c r="B70" s="2">
        <v>3</v>
      </c>
      <c r="C70" s="1" t="s">
        <v>17</v>
      </c>
      <c r="D70" s="2">
        <v>38</v>
      </c>
      <c r="E70" s="2">
        <v>21</v>
      </c>
      <c r="F70" s="2">
        <v>7</v>
      </c>
      <c r="G70" s="6">
        <v>6</v>
      </c>
      <c r="H70" s="2">
        <v>100</v>
      </c>
      <c r="I70" s="2">
        <v>100</v>
      </c>
      <c r="J70" s="2">
        <v>100</v>
      </c>
      <c r="K70" s="2">
        <v>100</v>
      </c>
      <c r="L70" s="3">
        <v>85</v>
      </c>
      <c r="M70" s="3">
        <v>2</v>
      </c>
      <c r="R70" s="7">
        <f>(E70/D70)*100</f>
        <v>55.26315789473685</v>
      </c>
      <c r="S70" s="15">
        <f>(AVERAGE(H70:M70))/G70</f>
        <v>13.527777777777779</v>
      </c>
      <c r="T70" s="8">
        <f t="shared" ref="T70:T83" si="4">(R70*S70)/100</f>
        <v>7.4758771929824581</v>
      </c>
    </row>
    <row r="71" spans="1:20" ht="13" x14ac:dyDescent="0.15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R71" s="7"/>
      <c r="S71" s="15"/>
      <c r="T71" s="8"/>
    </row>
    <row r="72" spans="1:20" ht="13" x14ac:dyDescent="0.15">
      <c r="A72" s="1" t="s">
        <v>12</v>
      </c>
      <c r="B72" s="2">
        <v>1</v>
      </c>
      <c r="C72" s="1" t="s">
        <v>18</v>
      </c>
      <c r="D72" s="2">
        <v>33</v>
      </c>
      <c r="E72" s="2">
        <v>14</v>
      </c>
      <c r="F72" s="2">
        <v>8</v>
      </c>
      <c r="G72" s="6">
        <v>7</v>
      </c>
      <c r="H72" s="2">
        <v>100</v>
      </c>
      <c r="I72" s="2">
        <v>100</v>
      </c>
      <c r="J72" s="2">
        <v>100</v>
      </c>
      <c r="K72" s="2">
        <v>80</v>
      </c>
      <c r="L72" s="3">
        <v>30</v>
      </c>
      <c r="M72" s="3">
        <v>5</v>
      </c>
      <c r="N72" s="3">
        <v>1</v>
      </c>
      <c r="R72" s="7">
        <f t="shared" ref="R72:R83" si="5">(E72/D72)*100</f>
        <v>42.424242424242422</v>
      </c>
      <c r="S72" s="15">
        <f>(AVERAGE(H72:N72))/G72</f>
        <v>8.4897959183673475</v>
      </c>
      <c r="T72" s="8">
        <f t="shared" si="4"/>
        <v>3.6017316017316019</v>
      </c>
    </row>
    <row r="73" spans="1:20" ht="13" x14ac:dyDescent="0.15">
      <c r="A73" s="1" t="s">
        <v>12</v>
      </c>
      <c r="B73" s="2">
        <v>2</v>
      </c>
      <c r="C73" s="1" t="s">
        <v>18</v>
      </c>
      <c r="D73" s="2">
        <v>30</v>
      </c>
      <c r="E73" s="2">
        <v>15</v>
      </c>
      <c r="F73" s="2">
        <v>7</v>
      </c>
      <c r="G73" s="6">
        <v>6</v>
      </c>
      <c r="H73" s="2">
        <v>100</v>
      </c>
      <c r="I73" s="2">
        <v>100</v>
      </c>
      <c r="J73" s="2">
        <v>100</v>
      </c>
      <c r="K73" s="2">
        <v>50</v>
      </c>
      <c r="L73" s="3">
        <v>10</v>
      </c>
      <c r="M73" s="3">
        <v>2</v>
      </c>
      <c r="R73" s="7">
        <f t="shared" si="5"/>
        <v>50</v>
      </c>
      <c r="S73" s="15">
        <f t="shared" ref="S73:S79" si="6">(AVERAGE(H73:M73))/G73</f>
        <v>10.055555555555555</v>
      </c>
      <c r="T73" s="8">
        <f t="shared" si="4"/>
        <v>5.0277777777777777</v>
      </c>
    </row>
    <row r="74" spans="1:20" ht="13" x14ac:dyDescent="0.15">
      <c r="A74" s="1" t="s">
        <v>12</v>
      </c>
      <c r="B74" s="2">
        <v>3</v>
      </c>
      <c r="C74" s="1" t="s">
        <v>18</v>
      </c>
      <c r="D74" s="2">
        <v>31</v>
      </c>
      <c r="E74" s="2">
        <v>18</v>
      </c>
      <c r="F74" s="2">
        <v>8</v>
      </c>
      <c r="G74" s="6">
        <v>6</v>
      </c>
      <c r="H74" s="2">
        <v>100</v>
      </c>
      <c r="I74" s="2">
        <v>100</v>
      </c>
      <c r="J74" s="2">
        <v>100</v>
      </c>
      <c r="K74" s="2">
        <v>80</v>
      </c>
      <c r="L74" s="3">
        <v>5</v>
      </c>
      <c r="M74" s="3">
        <v>2</v>
      </c>
      <c r="R74" s="7">
        <f t="shared" si="5"/>
        <v>58.064516129032263</v>
      </c>
      <c r="S74" s="15">
        <f t="shared" si="6"/>
        <v>10.75</v>
      </c>
      <c r="T74" s="8">
        <f t="shared" si="4"/>
        <v>6.241935483870968</v>
      </c>
    </row>
    <row r="75" spans="1:20" ht="13" x14ac:dyDescent="0.15">
      <c r="A75" s="1" t="s">
        <v>14</v>
      </c>
      <c r="B75" s="2">
        <v>1</v>
      </c>
      <c r="C75" s="1" t="s">
        <v>18</v>
      </c>
      <c r="D75" s="2">
        <v>28</v>
      </c>
      <c r="E75" s="2">
        <v>22</v>
      </c>
      <c r="F75" s="2">
        <v>7</v>
      </c>
      <c r="G75" s="6">
        <v>6</v>
      </c>
      <c r="H75" s="2">
        <v>100</v>
      </c>
      <c r="I75" s="2">
        <v>100</v>
      </c>
      <c r="J75" s="2">
        <v>100</v>
      </c>
      <c r="K75" s="2">
        <v>40</v>
      </c>
      <c r="L75" s="3">
        <v>10</v>
      </c>
      <c r="M75" s="3">
        <v>2</v>
      </c>
      <c r="R75" s="7">
        <f t="shared" si="5"/>
        <v>78.571428571428569</v>
      </c>
      <c r="S75" s="15">
        <f t="shared" si="6"/>
        <v>9.7777777777777768</v>
      </c>
      <c r="T75" s="8">
        <f t="shared" si="4"/>
        <v>7.6825396825396819</v>
      </c>
    </row>
    <row r="76" spans="1:20" ht="13" x14ac:dyDescent="0.15">
      <c r="A76" s="1" t="s">
        <v>14</v>
      </c>
      <c r="B76" s="2">
        <v>2</v>
      </c>
      <c r="C76" s="1" t="s">
        <v>18</v>
      </c>
      <c r="D76" s="2">
        <v>37</v>
      </c>
      <c r="E76" s="2">
        <v>21.5</v>
      </c>
      <c r="F76" s="2">
        <v>7</v>
      </c>
      <c r="G76" s="6">
        <v>6</v>
      </c>
      <c r="H76" s="2">
        <v>100</v>
      </c>
      <c r="I76" s="2">
        <v>100</v>
      </c>
      <c r="J76" s="2">
        <v>100</v>
      </c>
      <c r="K76" s="2">
        <v>10</v>
      </c>
      <c r="L76" s="3">
        <v>5</v>
      </c>
      <c r="M76" s="3">
        <v>2</v>
      </c>
      <c r="R76" s="7">
        <f t="shared" si="5"/>
        <v>58.108108108108105</v>
      </c>
      <c r="S76" s="15">
        <f t="shared" si="6"/>
        <v>8.8055555555555554</v>
      </c>
      <c r="T76" s="8">
        <f t="shared" si="4"/>
        <v>5.1167417417417411</v>
      </c>
    </row>
    <row r="77" spans="1:20" ht="13" x14ac:dyDescent="0.15">
      <c r="A77" s="1" t="s">
        <v>14</v>
      </c>
      <c r="B77" s="2">
        <v>3</v>
      </c>
      <c r="C77" s="1" t="s">
        <v>18</v>
      </c>
      <c r="D77" s="2">
        <v>31.5</v>
      </c>
      <c r="E77" s="2">
        <v>24</v>
      </c>
      <c r="F77" s="2">
        <v>8</v>
      </c>
      <c r="G77" s="6">
        <v>6</v>
      </c>
      <c r="H77" s="2">
        <v>100</v>
      </c>
      <c r="I77" s="2">
        <v>100</v>
      </c>
      <c r="J77" s="2">
        <v>100</v>
      </c>
      <c r="K77" s="2">
        <v>60</v>
      </c>
      <c r="L77" s="3">
        <v>10</v>
      </c>
      <c r="M77" s="3">
        <v>5</v>
      </c>
      <c r="R77" s="7">
        <f t="shared" si="5"/>
        <v>76.19047619047619</v>
      </c>
      <c r="S77" s="15">
        <f t="shared" si="6"/>
        <v>10.416666666666666</v>
      </c>
      <c r="T77" s="8">
        <f t="shared" si="4"/>
        <v>7.9365079365079358</v>
      </c>
    </row>
    <row r="78" spans="1:20" ht="13" x14ac:dyDescent="0.15">
      <c r="A78" s="1" t="s">
        <v>10</v>
      </c>
      <c r="B78" s="2">
        <v>1</v>
      </c>
      <c r="C78" s="1" t="s">
        <v>18</v>
      </c>
      <c r="D78" s="2">
        <v>22</v>
      </c>
      <c r="E78" s="2">
        <v>14</v>
      </c>
      <c r="F78" s="2">
        <v>6</v>
      </c>
      <c r="G78" s="6">
        <v>6</v>
      </c>
      <c r="H78" s="2">
        <v>100</v>
      </c>
      <c r="I78" s="2">
        <v>100</v>
      </c>
      <c r="J78" s="1">
        <v>100</v>
      </c>
      <c r="K78" s="1">
        <v>100</v>
      </c>
      <c r="L78" s="3">
        <v>10</v>
      </c>
      <c r="M78" s="3">
        <v>2</v>
      </c>
      <c r="R78" s="7">
        <f t="shared" si="5"/>
        <v>63.636363636363633</v>
      </c>
      <c r="S78" s="15">
        <f t="shared" si="6"/>
        <v>11.444444444444445</v>
      </c>
      <c r="T78" s="8">
        <f t="shared" si="4"/>
        <v>7.2828282828282829</v>
      </c>
    </row>
    <row r="79" spans="1:20" ht="13" x14ac:dyDescent="0.15">
      <c r="A79" s="1" t="s">
        <v>10</v>
      </c>
      <c r="B79" s="2">
        <v>2</v>
      </c>
      <c r="C79" s="1" t="s">
        <v>18</v>
      </c>
      <c r="D79" s="2">
        <v>25</v>
      </c>
      <c r="E79" s="2">
        <v>19</v>
      </c>
      <c r="F79" s="2">
        <v>6</v>
      </c>
      <c r="G79" s="6">
        <v>6</v>
      </c>
      <c r="H79" s="2">
        <v>100</v>
      </c>
      <c r="I79" s="2">
        <v>100</v>
      </c>
      <c r="J79" s="2">
        <v>100</v>
      </c>
      <c r="K79" s="2">
        <v>87</v>
      </c>
      <c r="L79" s="3">
        <v>20</v>
      </c>
      <c r="M79" s="3">
        <v>5</v>
      </c>
      <c r="R79" s="7">
        <f t="shared" si="5"/>
        <v>76</v>
      </c>
      <c r="S79" s="15">
        <f t="shared" si="6"/>
        <v>11.444444444444445</v>
      </c>
      <c r="T79" s="8">
        <f t="shared" si="4"/>
        <v>8.6977777777777785</v>
      </c>
    </row>
    <row r="80" spans="1:20" ht="13" x14ac:dyDescent="0.15">
      <c r="A80" s="1" t="s">
        <v>10</v>
      </c>
      <c r="B80" s="2">
        <v>3</v>
      </c>
      <c r="C80" s="1" t="s">
        <v>18</v>
      </c>
      <c r="D80" s="2">
        <v>19</v>
      </c>
      <c r="E80" s="2">
        <v>13</v>
      </c>
      <c r="F80" s="2">
        <v>6</v>
      </c>
      <c r="G80" s="6">
        <v>5</v>
      </c>
      <c r="H80" s="2">
        <v>100</v>
      </c>
      <c r="I80" s="2">
        <v>100</v>
      </c>
      <c r="J80" s="2">
        <v>100</v>
      </c>
      <c r="K80" s="1">
        <v>80</v>
      </c>
      <c r="L80" s="3">
        <v>20</v>
      </c>
      <c r="R80" s="7">
        <f t="shared" si="5"/>
        <v>68.421052631578945</v>
      </c>
      <c r="S80" s="15">
        <f>(AVERAGE(H80:L80))/G80</f>
        <v>16</v>
      </c>
      <c r="T80" s="8">
        <f t="shared" si="4"/>
        <v>10.947368421052632</v>
      </c>
    </row>
    <row r="81" spans="1:20" ht="13" x14ac:dyDescent="0.15">
      <c r="A81" s="11" t="s">
        <v>11</v>
      </c>
      <c r="B81" s="2">
        <v>1</v>
      </c>
      <c r="C81" s="1" t="s">
        <v>18</v>
      </c>
      <c r="D81" s="2">
        <v>31</v>
      </c>
      <c r="E81" s="2">
        <v>23</v>
      </c>
      <c r="F81" s="2">
        <v>5</v>
      </c>
      <c r="G81" s="6">
        <v>5</v>
      </c>
      <c r="H81" s="2">
        <v>100</v>
      </c>
      <c r="I81" s="2">
        <v>100</v>
      </c>
      <c r="J81" s="1">
        <v>100</v>
      </c>
      <c r="K81" s="1">
        <v>20</v>
      </c>
      <c r="L81" s="3">
        <v>5</v>
      </c>
      <c r="R81" s="7">
        <f t="shared" si="5"/>
        <v>74.193548387096769</v>
      </c>
      <c r="S81" s="15">
        <f t="shared" ref="S81:S82" si="7">(AVERAGE(H81:L81))/G81</f>
        <v>13</v>
      </c>
      <c r="T81" s="8">
        <f t="shared" si="4"/>
        <v>9.6451612903225801</v>
      </c>
    </row>
    <row r="82" spans="1:20" ht="13" x14ac:dyDescent="0.15">
      <c r="A82" s="11" t="s">
        <v>11</v>
      </c>
      <c r="B82" s="2">
        <v>2</v>
      </c>
      <c r="C82" s="1" t="s">
        <v>18</v>
      </c>
      <c r="D82" s="2">
        <v>26</v>
      </c>
      <c r="E82" s="2">
        <v>16</v>
      </c>
      <c r="F82" s="2">
        <v>5</v>
      </c>
      <c r="G82" s="6">
        <v>5</v>
      </c>
      <c r="H82" s="2">
        <v>100</v>
      </c>
      <c r="I82" s="2">
        <v>100</v>
      </c>
      <c r="J82" s="2">
        <v>100</v>
      </c>
      <c r="K82" s="2">
        <v>30</v>
      </c>
      <c r="L82" s="3">
        <v>2</v>
      </c>
      <c r="R82" s="7">
        <f t="shared" si="5"/>
        <v>61.53846153846154</v>
      </c>
      <c r="S82" s="15">
        <f t="shared" si="7"/>
        <v>13.280000000000001</v>
      </c>
      <c r="T82" s="8">
        <f t="shared" si="4"/>
        <v>8.1723076923076921</v>
      </c>
    </row>
    <row r="83" spans="1:20" ht="13" x14ac:dyDescent="0.15">
      <c r="A83" s="11" t="s">
        <v>11</v>
      </c>
      <c r="B83" s="2">
        <v>3</v>
      </c>
      <c r="C83" s="1" t="s">
        <v>18</v>
      </c>
      <c r="D83" s="2">
        <v>20</v>
      </c>
      <c r="E83" s="2">
        <v>12</v>
      </c>
      <c r="F83" s="2">
        <v>6</v>
      </c>
      <c r="G83" s="6">
        <v>6</v>
      </c>
      <c r="H83" s="2">
        <v>100</v>
      </c>
      <c r="I83" s="2">
        <v>100</v>
      </c>
      <c r="J83" s="2">
        <v>100</v>
      </c>
      <c r="K83" s="2">
        <v>100</v>
      </c>
      <c r="L83" s="3">
        <v>100</v>
      </c>
      <c r="M83" s="3">
        <v>2</v>
      </c>
      <c r="R83" s="7">
        <f t="shared" si="5"/>
        <v>60</v>
      </c>
      <c r="S83" s="15">
        <f>(AVERAGE(H83:M83))/G83</f>
        <v>13.944444444444445</v>
      </c>
      <c r="T83" s="8">
        <f t="shared" si="4"/>
        <v>8.3666666666666671</v>
      </c>
    </row>
    <row r="84" spans="1:20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F85"/>
  <sheetViews>
    <sheetView workbookViewId="0">
      <selection activeCell="D3" sqref="D3:F3"/>
    </sheetView>
  </sheetViews>
  <sheetFormatPr baseColWidth="10" defaultColWidth="12.6640625" defaultRowHeight="15.75" customHeight="1" x14ac:dyDescent="0.15"/>
  <sheetData>
    <row r="2" spans="1:6" ht="15.75" customHeight="1" x14ac:dyDescent="0.15">
      <c r="D2" s="13" t="s">
        <v>21</v>
      </c>
      <c r="E2" s="14"/>
      <c r="F2" s="14"/>
    </row>
    <row r="3" spans="1:6" ht="15.75" customHeight="1" x14ac:dyDescent="0.15">
      <c r="A3" s="1" t="s">
        <v>2</v>
      </c>
      <c r="B3" s="1" t="s">
        <v>3</v>
      </c>
      <c r="C3" s="1" t="s">
        <v>4</v>
      </c>
      <c r="D3" s="3" t="s">
        <v>22</v>
      </c>
      <c r="E3" s="3" t="s">
        <v>23</v>
      </c>
      <c r="F3" s="3" t="s">
        <v>24</v>
      </c>
    </row>
    <row r="4" spans="1:6" ht="15.75" customHeight="1" x14ac:dyDescent="0.15">
      <c r="A4" s="1" t="s">
        <v>7</v>
      </c>
      <c r="B4" s="1"/>
      <c r="C4" s="1"/>
    </row>
    <row r="5" spans="1:6" ht="15.75" customHeight="1" x14ac:dyDescent="0.15">
      <c r="A5" s="1" t="s">
        <v>7</v>
      </c>
      <c r="B5" s="2">
        <v>1</v>
      </c>
      <c r="C5" s="1" t="s">
        <v>8</v>
      </c>
      <c r="D5" s="3">
        <v>2</v>
      </c>
      <c r="E5" s="3">
        <v>5</v>
      </c>
      <c r="F5" s="3">
        <v>15</v>
      </c>
    </row>
    <row r="6" spans="1:6" ht="15.75" customHeight="1" x14ac:dyDescent="0.15">
      <c r="A6" s="1" t="s">
        <v>7</v>
      </c>
      <c r="B6" s="2">
        <v>2</v>
      </c>
      <c r="C6" s="1" t="s">
        <v>8</v>
      </c>
      <c r="D6" s="3">
        <v>5</v>
      </c>
      <c r="E6" s="3">
        <v>15</v>
      </c>
      <c r="F6" s="3">
        <v>40</v>
      </c>
    </row>
    <row r="7" spans="1:6" ht="15.75" customHeight="1" x14ac:dyDescent="0.15">
      <c r="A7" s="1" t="s">
        <v>7</v>
      </c>
      <c r="B7" s="2">
        <v>3</v>
      </c>
      <c r="C7" s="1" t="s">
        <v>8</v>
      </c>
      <c r="D7" s="3">
        <v>2</v>
      </c>
      <c r="E7" s="3">
        <v>5</v>
      </c>
      <c r="F7" s="3">
        <v>15</v>
      </c>
    </row>
    <row r="8" spans="1:6" ht="15.75" customHeight="1" x14ac:dyDescent="0.15">
      <c r="A8" s="1" t="s">
        <v>9</v>
      </c>
      <c r="B8" s="2">
        <v>1</v>
      </c>
      <c r="C8" s="1" t="s">
        <v>8</v>
      </c>
      <c r="D8" s="3">
        <v>5</v>
      </c>
      <c r="E8" s="3">
        <v>15</v>
      </c>
      <c r="F8" s="3">
        <v>40</v>
      </c>
    </row>
    <row r="9" spans="1:6" ht="15.75" customHeight="1" x14ac:dyDescent="0.15">
      <c r="A9" s="1" t="s">
        <v>9</v>
      </c>
      <c r="B9" s="2">
        <v>2</v>
      </c>
      <c r="C9" s="1" t="s">
        <v>8</v>
      </c>
      <c r="D9" s="3">
        <v>0</v>
      </c>
      <c r="E9" s="3">
        <v>2</v>
      </c>
      <c r="F9" s="3">
        <v>15</v>
      </c>
    </row>
    <row r="10" spans="1:6" ht="15.75" customHeight="1" x14ac:dyDescent="0.15">
      <c r="A10" s="1" t="s">
        <v>9</v>
      </c>
      <c r="B10" s="2">
        <v>3</v>
      </c>
      <c r="C10" s="1" t="s">
        <v>8</v>
      </c>
      <c r="D10" s="3">
        <v>2</v>
      </c>
      <c r="E10" s="3">
        <v>15</v>
      </c>
      <c r="F10" s="3">
        <v>40</v>
      </c>
    </row>
    <row r="11" spans="1:6" ht="15.75" customHeight="1" x14ac:dyDescent="0.15">
      <c r="A11" s="1"/>
      <c r="B11" s="1"/>
      <c r="C11" s="1"/>
    </row>
    <row r="12" spans="1:6" ht="15.75" customHeight="1" x14ac:dyDescent="0.15">
      <c r="A12" s="1"/>
      <c r="B12" s="1"/>
      <c r="C12" s="1"/>
    </row>
    <row r="13" spans="1:6" ht="15.75" customHeight="1" x14ac:dyDescent="0.15">
      <c r="A13" s="1" t="s">
        <v>10</v>
      </c>
      <c r="B13" s="1"/>
      <c r="C13" s="1"/>
    </row>
    <row r="14" spans="1:6" ht="15.75" customHeight="1" x14ac:dyDescent="0.15">
      <c r="A14" s="1" t="s">
        <v>10</v>
      </c>
      <c r="B14" s="2">
        <v>1</v>
      </c>
      <c r="C14" s="1" t="s">
        <v>8</v>
      </c>
      <c r="D14" s="3">
        <v>5</v>
      </c>
      <c r="E14" s="3">
        <v>15</v>
      </c>
      <c r="F14" s="3">
        <v>40</v>
      </c>
    </row>
    <row r="15" spans="1:6" ht="15.75" customHeight="1" x14ac:dyDescent="0.15">
      <c r="A15" s="1" t="s">
        <v>10</v>
      </c>
      <c r="B15" s="2">
        <v>2</v>
      </c>
      <c r="C15" s="1" t="s">
        <v>8</v>
      </c>
      <c r="D15" s="3">
        <v>15</v>
      </c>
      <c r="E15" s="3">
        <v>40</v>
      </c>
      <c r="F15" s="3">
        <v>60</v>
      </c>
    </row>
    <row r="16" spans="1:6" ht="15.75" customHeight="1" x14ac:dyDescent="0.15">
      <c r="A16" s="1" t="s">
        <v>10</v>
      </c>
      <c r="B16" s="2">
        <v>3</v>
      </c>
      <c r="C16" s="1" t="s">
        <v>8</v>
      </c>
      <c r="D16" s="3">
        <v>5</v>
      </c>
      <c r="E16" s="3">
        <v>40</v>
      </c>
      <c r="F16" s="3">
        <v>100</v>
      </c>
    </row>
    <row r="17" spans="1:6" ht="15.75" customHeight="1" x14ac:dyDescent="0.15">
      <c r="A17" s="1" t="s">
        <v>11</v>
      </c>
      <c r="B17" s="2">
        <v>1</v>
      </c>
      <c r="C17" s="1" t="s">
        <v>8</v>
      </c>
      <c r="D17" s="3">
        <v>15</v>
      </c>
      <c r="E17" s="3">
        <v>40</v>
      </c>
      <c r="F17" s="3">
        <v>100</v>
      </c>
    </row>
    <row r="18" spans="1:6" ht="15.75" customHeight="1" x14ac:dyDescent="0.15">
      <c r="A18" s="1" t="s">
        <v>11</v>
      </c>
      <c r="B18" s="2">
        <v>2</v>
      </c>
      <c r="C18" s="1" t="s">
        <v>8</v>
      </c>
      <c r="D18" s="3">
        <v>5</v>
      </c>
      <c r="E18" s="3">
        <v>40</v>
      </c>
      <c r="F18" s="3">
        <v>60</v>
      </c>
    </row>
    <row r="19" spans="1:6" ht="15.75" customHeight="1" x14ac:dyDescent="0.15">
      <c r="A19" s="1" t="s">
        <v>11</v>
      </c>
      <c r="B19" s="2">
        <v>3</v>
      </c>
      <c r="C19" s="1" t="s">
        <v>8</v>
      </c>
      <c r="D19" s="3">
        <v>2</v>
      </c>
      <c r="E19" s="3">
        <v>15</v>
      </c>
      <c r="F19" s="3">
        <v>60</v>
      </c>
    </row>
    <row r="20" spans="1:6" ht="15.75" customHeight="1" x14ac:dyDescent="0.15">
      <c r="A20" s="1"/>
      <c r="B20" s="1"/>
      <c r="C20" s="1"/>
    </row>
    <row r="21" spans="1:6" ht="15.75" customHeight="1" x14ac:dyDescent="0.15">
      <c r="A21" s="1" t="s">
        <v>12</v>
      </c>
      <c r="B21" s="2">
        <v>1</v>
      </c>
      <c r="C21" s="1" t="s">
        <v>13</v>
      </c>
      <c r="D21" s="3">
        <v>0</v>
      </c>
      <c r="E21" s="3">
        <v>0</v>
      </c>
      <c r="F21" s="3">
        <v>0</v>
      </c>
    </row>
    <row r="22" spans="1:6" ht="15.75" customHeight="1" x14ac:dyDescent="0.15">
      <c r="A22" s="1" t="s">
        <v>12</v>
      </c>
      <c r="B22" s="2">
        <v>2</v>
      </c>
      <c r="C22" s="1" t="s">
        <v>13</v>
      </c>
      <c r="D22" s="3">
        <v>0</v>
      </c>
      <c r="E22" s="3">
        <v>0</v>
      </c>
      <c r="F22" s="3">
        <v>0</v>
      </c>
    </row>
    <row r="23" spans="1:6" ht="15.75" customHeight="1" x14ac:dyDescent="0.15">
      <c r="A23" s="1" t="s">
        <v>12</v>
      </c>
      <c r="B23" s="2">
        <v>3</v>
      </c>
      <c r="C23" s="1" t="s">
        <v>13</v>
      </c>
      <c r="D23" s="3">
        <v>0</v>
      </c>
      <c r="E23" s="3">
        <v>0</v>
      </c>
      <c r="F23" s="3">
        <v>0</v>
      </c>
    </row>
    <row r="24" spans="1:6" ht="15.75" customHeight="1" x14ac:dyDescent="0.15">
      <c r="A24" s="1" t="s">
        <v>14</v>
      </c>
      <c r="B24" s="2">
        <v>1</v>
      </c>
      <c r="C24" s="1" t="s">
        <v>13</v>
      </c>
      <c r="D24" s="3">
        <v>0</v>
      </c>
      <c r="E24" s="3">
        <v>0</v>
      </c>
      <c r="F24" s="3">
        <v>0</v>
      </c>
    </row>
    <row r="25" spans="1:6" ht="15.75" customHeight="1" x14ac:dyDescent="0.15">
      <c r="A25" s="1" t="s">
        <v>14</v>
      </c>
      <c r="B25" s="2">
        <v>2</v>
      </c>
      <c r="C25" s="1" t="s">
        <v>13</v>
      </c>
      <c r="D25" s="3">
        <v>0</v>
      </c>
      <c r="E25" s="3">
        <v>0</v>
      </c>
      <c r="F25" s="3">
        <v>0</v>
      </c>
    </row>
    <row r="26" spans="1:6" ht="15.75" customHeight="1" x14ac:dyDescent="0.15">
      <c r="A26" s="1" t="s">
        <v>14</v>
      </c>
      <c r="B26" s="2">
        <v>3</v>
      </c>
      <c r="C26" s="1" t="s">
        <v>13</v>
      </c>
      <c r="D26" s="3">
        <v>0</v>
      </c>
      <c r="E26" s="3">
        <v>0</v>
      </c>
      <c r="F26" s="3">
        <v>0</v>
      </c>
    </row>
    <row r="27" spans="1:6" ht="15.75" customHeight="1" x14ac:dyDescent="0.15">
      <c r="A27" s="1" t="s">
        <v>10</v>
      </c>
      <c r="B27" s="2">
        <v>1</v>
      </c>
      <c r="C27" s="1" t="s">
        <v>13</v>
      </c>
      <c r="D27" s="3">
        <v>0</v>
      </c>
      <c r="E27" s="3">
        <v>0</v>
      </c>
      <c r="F27" s="3">
        <v>0</v>
      </c>
    </row>
    <row r="28" spans="1:6" ht="15.75" customHeight="1" x14ac:dyDescent="0.15">
      <c r="A28" s="1" t="s">
        <v>10</v>
      </c>
      <c r="B28" s="2">
        <v>2</v>
      </c>
      <c r="C28" s="1" t="s">
        <v>13</v>
      </c>
      <c r="D28" s="3">
        <v>0</v>
      </c>
      <c r="E28" s="3">
        <v>0</v>
      </c>
      <c r="F28" s="3">
        <v>0</v>
      </c>
    </row>
    <row r="29" spans="1:6" ht="15.75" customHeight="1" x14ac:dyDescent="0.15">
      <c r="A29" s="1" t="s">
        <v>10</v>
      </c>
      <c r="B29" s="2">
        <v>3</v>
      </c>
      <c r="C29" s="1" t="s">
        <v>13</v>
      </c>
      <c r="D29" s="3">
        <v>0</v>
      </c>
      <c r="E29" s="3">
        <v>0</v>
      </c>
      <c r="F29" s="3">
        <v>0</v>
      </c>
    </row>
    <row r="30" spans="1:6" ht="15.75" customHeight="1" x14ac:dyDescent="0.15">
      <c r="A30" s="1" t="s">
        <v>11</v>
      </c>
      <c r="B30" s="2">
        <v>1</v>
      </c>
      <c r="C30" s="1" t="s">
        <v>13</v>
      </c>
      <c r="D30" s="3">
        <v>0</v>
      </c>
      <c r="E30" s="3">
        <v>0</v>
      </c>
      <c r="F30" s="3">
        <v>0</v>
      </c>
    </row>
    <row r="31" spans="1:6" ht="15.75" customHeight="1" x14ac:dyDescent="0.15">
      <c r="A31" s="1" t="s">
        <v>11</v>
      </c>
      <c r="B31" s="2">
        <v>2</v>
      </c>
      <c r="C31" s="1" t="s">
        <v>13</v>
      </c>
      <c r="D31" s="3">
        <v>0</v>
      </c>
      <c r="E31" s="3">
        <v>0</v>
      </c>
      <c r="F31" s="3">
        <v>0</v>
      </c>
    </row>
    <row r="32" spans="1:6" ht="15.75" customHeight="1" x14ac:dyDescent="0.15">
      <c r="A32" s="1" t="s">
        <v>11</v>
      </c>
      <c r="B32" s="2">
        <v>3</v>
      </c>
      <c r="C32" s="1" t="s">
        <v>13</v>
      </c>
      <c r="D32" s="3">
        <v>0</v>
      </c>
      <c r="E32" s="3">
        <v>0</v>
      </c>
      <c r="F32" s="3">
        <v>0</v>
      </c>
    </row>
    <row r="33" spans="1:6" ht="15.75" customHeight="1" x14ac:dyDescent="0.15">
      <c r="A33" s="1"/>
      <c r="B33" s="1"/>
      <c r="C33" s="1"/>
    </row>
    <row r="34" spans="1:6" ht="15.75" customHeight="1" x14ac:dyDescent="0.15">
      <c r="A34" s="1" t="s">
        <v>12</v>
      </c>
      <c r="B34" s="2">
        <v>1</v>
      </c>
      <c r="C34" s="1" t="s">
        <v>15</v>
      </c>
      <c r="D34" s="3">
        <v>2</v>
      </c>
      <c r="E34" s="3">
        <v>15</v>
      </c>
      <c r="F34" s="3">
        <v>40</v>
      </c>
    </row>
    <row r="35" spans="1:6" ht="15.75" customHeight="1" x14ac:dyDescent="0.15">
      <c r="A35" s="1" t="s">
        <v>12</v>
      </c>
      <c r="B35" s="2">
        <v>2</v>
      </c>
      <c r="C35" s="1" t="s">
        <v>15</v>
      </c>
      <c r="D35" s="3">
        <v>5</v>
      </c>
      <c r="E35" s="3">
        <v>15</v>
      </c>
      <c r="F35" s="3">
        <v>15</v>
      </c>
    </row>
    <row r="36" spans="1:6" ht="15.75" customHeight="1" x14ac:dyDescent="0.15">
      <c r="A36" s="1" t="s">
        <v>12</v>
      </c>
      <c r="B36" s="2">
        <v>3</v>
      </c>
      <c r="C36" s="1" t="s">
        <v>15</v>
      </c>
      <c r="D36" s="3">
        <v>5</v>
      </c>
      <c r="E36" s="3">
        <v>40</v>
      </c>
      <c r="F36" s="3">
        <v>100</v>
      </c>
    </row>
    <row r="37" spans="1:6" ht="15.75" customHeight="1" x14ac:dyDescent="0.15">
      <c r="A37" s="1" t="s">
        <v>14</v>
      </c>
      <c r="B37" s="2">
        <v>1</v>
      </c>
      <c r="C37" s="1" t="s">
        <v>15</v>
      </c>
      <c r="D37" s="3">
        <v>0</v>
      </c>
      <c r="E37" s="3">
        <v>5</v>
      </c>
      <c r="F37" s="3">
        <v>40</v>
      </c>
    </row>
    <row r="38" spans="1:6" ht="15.75" customHeight="1" x14ac:dyDescent="0.15">
      <c r="A38" s="1" t="s">
        <v>14</v>
      </c>
      <c r="B38" s="2">
        <v>2</v>
      </c>
      <c r="C38" s="1" t="s">
        <v>15</v>
      </c>
      <c r="D38" s="3">
        <v>2</v>
      </c>
      <c r="E38" s="3">
        <v>15</v>
      </c>
      <c r="F38" s="3">
        <v>60</v>
      </c>
    </row>
    <row r="39" spans="1:6" ht="15.75" customHeight="1" x14ac:dyDescent="0.15">
      <c r="A39" s="1" t="s">
        <v>14</v>
      </c>
      <c r="B39" s="2">
        <v>3</v>
      </c>
      <c r="C39" s="1" t="s">
        <v>15</v>
      </c>
      <c r="D39" s="3">
        <v>2</v>
      </c>
      <c r="E39" s="3">
        <v>5</v>
      </c>
      <c r="F39" s="3">
        <v>15</v>
      </c>
    </row>
    <row r="40" spans="1:6" ht="15.75" customHeight="1" x14ac:dyDescent="0.15">
      <c r="A40" s="1" t="s">
        <v>10</v>
      </c>
      <c r="B40" s="2">
        <v>1</v>
      </c>
      <c r="C40" s="1" t="s">
        <v>15</v>
      </c>
      <c r="D40" s="3">
        <v>2</v>
      </c>
      <c r="E40" s="3">
        <v>15</v>
      </c>
      <c r="F40" s="3">
        <v>40</v>
      </c>
    </row>
    <row r="41" spans="1:6" ht="15.75" customHeight="1" x14ac:dyDescent="0.15">
      <c r="A41" s="1" t="s">
        <v>10</v>
      </c>
      <c r="B41" s="2">
        <v>2</v>
      </c>
      <c r="C41" s="1" t="s">
        <v>15</v>
      </c>
      <c r="D41" s="3">
        <v>0</v>
      </c>
      <c r="E41" s="3">
        <v>15</v>
      </c>
      <c r="F41" s="3">
        <v>40</v>
      </c>
    </row>
    <row r="42" spans="1:6" ht="15.75" customHeight="1" x14ac:dyDescent="0.15">
      <c r="A42" s="1" t="s">
        <v>10</v>
      </c>
      <c r="B42" s="2">
        <v>3</v>
      </c>
      <c r="C42" s="1" t="s">
        <v>15</v>
      </c>
      <c r="D42" s="3">
        <v>5</v>
      </c>
      <c r="E42" s="3">
        <v>40</v>
      </c>
      <c r="F42" s="3">
        <v>60</v>
      </c>
    </row>
    <row r="43" spans="1:6" ht="13" x14ac:dyDescent="0.15">
      <c r="A43" s="1" t="s">
        <v>11</v>
      </c>
      <c r="B43" s="2">
        <v>1</v>
      </c>
      <c r="C43" s="1" t="s">
        <v>15</v>
      </c>
      <c r="D43" s="3">
        <v>40</v>
      </c>
      <c r="E43" s="3">
        <v>60</v>
      </c>
      <c r="F43" s="3">
        <v>100</v>
      </c>
    </row>
    <row r="44" spans="1:6" ht="13" x14ac:dyDescent="0.15">
      <c r="A44" s="1" t="s">
        <v>11</v>
      </c>
      <c r="B44" s="2">
        <v>2</v>
      </c>
      <c r="C44" s="1" t="s">
        <v>15</v>
      </c>
      <c r="D44" s="3">
        <v>5</v>
      </c>
      <c r="E44" s="3">
        <v>40</v>
      </c>
      <c r="F44" s="3">
        <v>100</v>
      </c>
    </row>
    <row r="45" spans="1:6" ht="13" x14ac:dyDescent="0.15">
      <c r="A45" s="1" t="s">
        <v>11</v>
      </c>
      <c r="B45" s="2">
        <v>3</v>
      </c>
      <c r="C45" s="1" t="s">
        <v>15</v>
      </c>
      <c r="D45" s="3">
        <v>2</v>
      </c>
      <c r="E45" s="3">
        <v>15</v>
      </c>
      <c r="F45" s="3">
        <v>40</v>
      </c>
    </row>
    <row r="46" spans="1:6" ht="13" x14ac:dyDescent="0.15">
      <c r="A46" s="1"/>
      <c r="B46" s="1"/>
      <c r="C46" s="1"/>
    </row>
    <row r="47" spans="1:6" ht="13" x14ac:dyDescent="0.15">
      <c r="A47" s="1" t="s">
        <v>12</v>
      </c>
      <c r="B47" s="2">
        <v>1</v>
      </c>
      <c r="C47" s="1" t="s">
        <v>16</v>
      </c>
      <c r="D47" s="3">
        <v>2</v>
      </c>
      <c r="E47" s="3">
        <v>5</v>
      </c>
      <c r="F47" s="3">
        <v>15</v>
      </c>
    </row>
    <row r="48" spans="1:6" ht="13" x14ac:dyDescent="0.15">
      <c r="A48" s="1" t="s">
        <v>12</v>
      </c>
      <c r="B48" s="2">
        <v>2</v>
      </c>
      <c r="C48" s="1" t="s">
        <v>16</v>
      </c>
      <c r="D48" s="3">
        <v>5</v>
      </c>
      <c r="E48" s="3">
        <v>15</v>
      </c>
      <c r="F48" s="3">
        <v>40</v>
      </c>
    </row>
    <row r="49" spans="1:6" ht="13" x14ac:dyDescent="0.15">
      <c r="A49" s="1" t="s">
        <v>12</v>
      </c>
      <c r="B49" s="2">
        <v>3</v>
      </c>
      <c r="C49" s="1" t="s">
        <v>16</v>
      </c>
      <c r="D49" s="3">
        <v>2</v>
      </c>
      <c r="E49" s="3">
        <v>15</v>
      </c>
      <c r="F49" s="3">
        <v>40</v>
      </c>
    </row>
    <row r="50" spans="1:6" ht="13" x14ac:dyDescent="0.15">
      <c r="A50" s="1" t="s">
        <v>14</v>
      </c>
      <c r="B50" s="2">
        <v>1</v>
      </c>
      <c r="C50" s="1" t="s">
        <v>16</v>
      </c>
      <c r="D50" s="3">
        <v>0</v>
      </c>
      <c r="E50" s="3">
        <v>0</v>
      </c>
      <c r="F50" s="3">
        <v>15</v>
      </c>
    </row>
    <row r="51" spans="1:6" ht="13" x14ac:dyDescent="0.15">
      <c r="A51" s="1" t="s">
        <v>14</v>
      </c>
      <c r="B51" s="2">
        <v>2</v>
      </c>
      <c r="C51" s="1" t="s">
        <v>16</v>
      </c>
      <c r="D51" s="3">
        <v>5</v>
      </c>
      <c r="E51" s="3">
        <v>15</v>
      </c>
      <c r="F51" s="3">
        <v>40</v>
      </c>
    </row>
    <row r="52" spans="1:6" ht="13" x14ac:dyDescent="0.15">
      <c r="A52" s="1" t="s">
        <v>14</v>
      </c>
      <c r="B52" s="2">
        <v>3</v>
      </c>
      <c r="C52" s="1" t="s">
        <v>16</v>
      </c>
      <c r="D52" s="3">
        <v>5</v>
      </c>
      <c r="E52" s="3">
        <v>15</v>
      </c>
      <c r="F52" s="3">
        <v>60</v>
      </c>
    </row>
    <row r="53" spans="1:6" ht="13" x14ac:dyDescent="0.15">
      <c r="A53" s="1" t="s">
        <v>10</v>
      </c>
      <c r="B53" s="2">
        <v>1</v>
      </c>
      <c r="C53" s="1" t="s">
        <v>16</v>
      </c>
      <c r="D53" s="3">
        <v>5</v>
      </c>
      <c r="E53" s="3">
        <v>15</v>
      </c>
      <c r="F53" s="3">
        <v>40</v>
      </c>
    </row>
    <row r="54" spans="1:6" ht="13" x14ac:dyDescent="0.15">
      <c r="A54" s="1" t="s">
        <v>10</v>
      </c>
      <c r="B54" s="2">
        <v>2</v>
      </c>
      <c r="C54" s="1" t="s">
        <v>16</v>
      </c>
      <c r="D54" s="3">
        <v>5</v>
      </c>
      <c r="E54" s="3">
        <v>15</v>
      </c>
      <c r="F54" s="3">
        <v>40</v>
      </c>
    </row>
    <row r="55" spans="1:6" ht="13" x14ac:dyDescent="0.15">
      <c r="A55" s="1" t="s">
        <v>10</v>
      </c>
      <c r="B55" s="2">
        <v>3</v>
      </c>
      <c r="C55" s="1" t="s">
        <v>16</v>
      </c>
      <c r="D55" s="3">
        <v>0</v>
      </c>
      <c r="E55" s="3">
        <v>15</v>
      </c>
      <c r="F55" s="3">
        <v>60</v>
      </c>
    </row>
    <row r="56" spans="1:6" ht="13" x14ac:dyDescent="0.15">
      <c r="A56" s="1" t="s">
        <v>11</v>
      </c>
      <c r="B56" s="2">
        <v>1</v>
      </c>
      <c r="C56" s="1" t="s">
        <v>16</v>
      </c>
      <c r="D56" s="3">
        <v>5</v>
      </c>
      <c r="E56" s="3">
        <v>40</v>
      </c>
      <c r="F56" s="3">
        <v>100</v>
      </c>
    </row>
    <row r="57" spans="1:6" ht="13" x14ac:dyDescent="0.15">
      <c r="A57" s="1" t="s">
        <v>11</v>
      </c>
      <c r="B57" s="2">
        <v>2</v>
      </c>
      <c r="C57" s="1" t="s">
        <v>16</v>
      </c>
      <c r="D57" s="3">
        <v>2</v>
      </c>
      <c r="E57" s="3">
        <v>40</v>
      </c>
      <c r="F57" s="3">
        <v>60</v>
      </c>
    </row>
    <row r="58" spans="1:6" ht="13" x14ac:dyDescent="0.15">
      <c r="A58" s="1" t="s">
        <v>11</v>
      </c>
      <c r="B58" s="2">
        <v>3</v>
      </c>
      <c r="C58" s="1" t="s">
        <v>16</v>
      </c>
      <c r="D58" s="3">
        <v>2</v>
      </c>
      <c r="E58" s="3">
        <v>15</v>
      </c>
      <c r="F58" s="3">
        <v>40</v>
      </c>
    </row>
    <row r="59" spans="1:6" ht="13" x14ac:dyDescent="0.15">
      <c r="A59" s="1"/>
      <c r="B59" s="1"/>
      <c r="C59" s="1"/>
    </row>
    <row r="60" spans="1:6" ht="13" x14ac:dyDescent="0.15">
      <c r="A60" s="1"/>
      <c r="B60" s="1"/>
      <c r="C60" s="1"/>
    </row>
    <row r="61" spans="1:6" ht="13" x14ac:dyDescent="0.15">
      <c r="A61" s="1" t="s">
        <v>12</v>
      </c>
      <c r="B61" s="2">
        <v>1</v>
      </c>
      <c r="C61" s="1" t="s">
        <v>17</v>
      </c>
      <c r="D61" s="3">
        <v>5</v>
      </c>
      <c r="E61" s="3">
        <v>15</v>
      </c>
      <c r="F61" s="3">
        <v>60</v>
      </c>
    </row>
    <row r="62" spans="1:6" ht="13" x14ac:dyDescent="0.15">
      <c r="A62" s="1" t="s">
        <v>12</v>
      </c>
      <c r="B62" s="2">
        <v>2</v>
      </c>
      <c r="C62" s="1" t="s">
        <v>17</v>
      </c>
      <c r="D62" s="3">
        <v>5</v>
      </c>
      <c r="E62" s="3">
        <v>15</v>
      </c>
      <c r="F62" s="3">
        <v>40</v>
      </c>
    </row>
    <row r="63" spans="1:6" ht="13" x14ac:dyDescent="0.15">
      <c r="A63" s="1" t="s">
        <v>12</v>
      </c>
      <c r="B63" s="2">
        <v>3</v>
      </c>
      <c r="C63" s="1" t="s">
        <v>17</v>
      </c>
      <c r="D63" s="3">
        <v>5</v>
      </c>
      <c r="E63" s="3">
        <v>15</v>
      </c>
      <c r="F63" s="3">
        <v>40</v>
      </c>
    </row>
    <row r="64" spans="1:6" ht="13" x14ac:dyDescent="0.15">
      <c r="A64" s="1" t="s">
        <v>14</v>
      </c>
      <c r="B64" s="2">
        <v>1</v>
      </c>
      <c r="C64" s="1" t="s">
        <v>17</v>
      </c>
      <c r="D64" s="3">
        <v>5</v>
      </c>
      <c r="E64" s="3">
        <v>40</v>
      </c>
      <c r="F64" s="3">
        <v>60</v>
      </c>
    </row>
    <row r="65" spans="1:6" ht="13" x14ac:dyDescent="0.15">
      <c r="A65" s="1" t="s">
        <v>14</v>
      </c>
      <c r="B65" s="2">
        <v>2</v>
      </c>
      <c r="C65" s="1" t="s">
        <v>17</v>
      </c>
      <c r="D65" s="3">
        <v>2</v>
      </c>
      <c r="E65" s="3">
        <v>15</v>
      </c>
      <c r="F65" s="3">
        <v>40</v>
      </c>
    </row>
    <row r="66" spans="1:6" ht="13" x14ac:dyDescent="0.15">
      <c r="A66" s="1" t="s">
        <v>14</v>
      </c>
      <c r="B66" s="2">
        <v>3</v>
      </c>
      <c r="C66" s="1" t="s">
        <v>17</v>
      </c>
      <c r="D66" s="3">
        <v>5</v>
      </c>
      <c r="E66" s="3">
        <v>15</v>
      </c>
      <c r="F66" s="3">
        <v>40</v>
      </c>
    </row>
    <row r="67" spans="1:6" ht="13" x14ac:dyDescent="0.15">
      <c r="A67" s="1" t="s">
        <v>10</v>
      </c>
      <c r="B67" s="2">
        <v>1</v>
      </c>
      <c r="C67" s="1" t="s">
        <v>17</v>
      </c>
      <c r="D67" s="3">
        <v>15</v>
      </c>
      <c r="E67" s="3">
        <v>40</v>
      </c>
      <c r="F67" s="3">
        <v>100</v>
      </c>
    </row>
    <row r="68" spans="1:6" ht="13" x14ac:dyDescent="0.15">
      <c r="A68" s="1" t="s">
        <v>10</v>
      </c>
      <c r="B68" s="2">
        <v>2</v>
      </c>
      <c r="C68" s="1" t="s">
        <v>17</v>
      </c>
      <c r="D68" s="3">
        <v>5</v>
      </c>
      <c r="E68" s="3">
        <v>40</v>
      </c>
      <c r="F68" s="3">
        <v>60</v>
      </c>
    </row>
    <row r="69" spans="1:6" ht="13" x14ac:dyDescent="0.15">
      <c r="A69" s="1" t="s">
        <v>10</v>
      </c>
      <c r="B69" s="2">
        <v>3</v>
      </c>
      <c r="C69" s="1" t="s">
        <v>17</v>
      </c>
      <c r="D69" s="3">
        <v>5</v>
      </c>
      <c r="E69" s="3">
        <v>40</v>
      </c>
      <c r="F69" s="3">
        <v>60</v>
      </c>
    </row>
    <row r="70" spans="1:6" ht="13" x14ac:dyDescent="0.15">
      <c r="A70" s="1" t="s">
        <v>11</v>
      </c>
      <c r="B70" s="2">
        <v>1</v>
      </c>
      <c r="C70" s="1" t="s">
        <v>17</v>
      </c>
      <c r="D70" s="3">
        <v>15</v>
      </c>
      <c r="E70" s="3">
        <v>40</v>
      </c>
      <c r="F70" s="3">
        <v>100</v>
      </c>
    </row>
    <row r="71" spans="1:6" ht="13" x14ac:dyDescent="0.15">
      <c r="A71" s="1" t="s">
        <v>11</v>
      </c>
      <c r="B71" s="2">
        <v>2</v>
      </c>
      <c r="C71" s="1" t="s">
        <v>17</v>
      </c>
      <c r="D71" s="3">
        <v>15</v>
      </c>
      <c r="E71" s="3">
        <v>60</v>
      </c>
      <c r="F71" s="3">
        <v>100</v>
      </c>
    </row>
    <row r="72" spans="1:6" ht="13" x14ac:dyDescent="0.15">
      <c r="A72" s="1" t="s">
        <v>11</v>
      </c>
      <c r="B72" s="2">
        <v>3</v>
      </c>
      <c r="C72" s="1" t="s">
        <v>17</v>
      </c>
      <c r="D72" s="3">
        <v>2</v>
      </c>
      <c r="E72" s="3">
        <v>40</v>
      </c>
    </row>
    <row r="73" spans="1:6" ht="13" x14ac:dyDescent="0.15">
      <c r="A73" s="1"/>
      <c r="B73" s="1"/>
      <c r="C73" s="1"/>
    </row>
    <row r="74" spans="1:6" ht="13" x14ac:dyDescent="0.15">
      <c r="A74" s="1" t="s">
        <v>12</v>
      </c>
      <c r="B74" s="2">
        <v>1</v>
      </c>
      <c r="C74" s="1" t="s">
        <v>18</v>
      </c>
      <c r="D74" s="3">
        <v>5</v>
      </c>
      <c r="E74" s="3">
        <v>15</v>
      </c>
      <c r="F74" s="3">
        <v>40</v>
      </c>
    </row>
    <row r="75" spans="1:6" ht="13" x14ac:dyDescent="0.15">
      <c r="A75" s="1" t="s">
        <v>12</v>
      </c>
      <c r="B75" s="2">
        <v>2</v>
      </c>
      <c r="C75" s="1" t="s">
        <v>18</v>
      </c>
      <c r="D75" s="3">
        <v>5</v>
      </c>
      <c r="E75" s="3">
        <v>15</v>
      </c>
      <c r="F75" s="3">
        <v>40</v>
      </c>
    </row>
    <row r="76" spans="1:6" ht="13" x14ac:dyDescent="0.15">
      <c r="A76" s="1" t="s">
        <v>12</v>
      </c>
      <c r="B76" s="2">
        <v>3</v>
      </c>
      <c r="C76" s="1" t="s">
        <v>18</v>
      </c>
      <c r="D76" s="3">
        <v>2</v>
      </c>
      <c r="E76" s="3">
        <v>5</v>
      </c>
      <c r="F76" s="3">
        <v>15</v>
      </c>
    </row>
    <row r="77" spans="1:6" ht="13" x14ac:dyDescent="0.15">
      <c r="A77" s="1" t="s">
        <v>14</v>
      </c>
      <c r="B77" s="2">
        <v>1</v>
      </c>
      <c r="C77" s="1" t="s">
        <v>18</v>
      </c>
      <c r="D77" s="3">
        <v>2</v>
      </c>
      <c r="E77" s="3">
        <v>15</v>
      </c>
      <c r="F77" s="3">
        <v>40</v>
      </c>
    </row>
    <row r="78" spans="1:6" ht="13" x14ac:dyDescent="0.15">
      <c r="A78" s="1" t="s">
        <v>14</v>
      </c>
      <c r="B78" s="2">
        <v>2</v>
      </c>
      <c r="C78" s="1" t="s">
        <v>18</v>
      </c>
      <c r="D78" s="3">
        <v>5</v>
      </c>
      <c r="E78" s="3">
        <v>15</v>
      </c>
      <c r="F78" s="3">
        <v>60</v>
      </c>
    </row>
    <row r="79" spans="1:6" ht="13" x14ac:dyDescent="0.15">
      <c r="A79" s="1" t="s">
        <v>14</v>
      </c>
      <c r="B79" s="2">
        <v>3</v>
      </c>
      <c r="C79" s="1" t="s">
        <v>18</v>
      </c>
      <c r="D79" s="3">
        <v>0</v>
      </c>
      <c r="E79" s="3">
        <v>2</v>
      </c>
      <c r="F79" s="3">
        <v>15</v>
      </c>
    </row>
    <row r="80" spans="1:6" ht="13" x14ac:dyDescent="0.15">
      <c r="A80" s="1" t="s">
        <v>10</v>
      </c>
      <c r="B80" s="2">
        <v>1</v>
      </c>
      <c r="C80" s="1" t="s">
        <v>18</v>
      </c>
      <c r="D80" s="3">
        <v>2</v>
      </c>
      <c r="E80" s="3">
        <v>15</v>
      </c>
      <c r="F80" s="3">
        <v>40</v>
      </c>
    </row>
    <row r="81" spans="1:6" ht="13" x14ac:dyDescent="0.15">
      <c r="A81" s="1" t="s">
        <v>10</v>
      </c>
      <c r="B81" s="2">
        <v>2</v>
      </c>
      <c r="C81" s="1" t="s">
        <v>18</v>
      </c>
      <c r="D81" s="3">
        <v>5</v>
      </c>
      <c r="E81" s="3">
        <v>40</v>
      </c>
      <c r="F81" s="3">
        <v>60</v>
      </c>
    </row>
    <row r="82" spans="1:6" ht="13" x14ac:dyDescent="0.15">
      <c r="A82" s="1" t="s">
        <v>10</v>
      </c>
      <c r="B82" s="2">
        <v>3</v>
      </c>
      <c r="C82" s="1" t="s">
        <v>18</v>
      </c>
      <c r="D82" s="3">
        <v>2</v>
      </c>
      <c r="E82" s="3">
        <v>40</v>
      </c>
      <c r="F82" s="3">
        <v>60</v>
      </c>
    </row>
    <row r="83" spans="1:6" ht="13" x14ac:dyDescent="0.15">
      <c r="A83" s="1" t="s">
        <v>11</v>
      </c>
      <c r="B83" s="2">
        <v>1</v>
      </c>
      <c r="C83" s="1" t="s">
        <v>18</v>
      </c>
      <c r="D83" s="3">
        <v>15</v>
      </c>
      <c r="E83" s="3">
        <v>40</v>
      </c>
      <c r="F83" s="3">
        <v>100</v>
      </c>
    </row>
    <row r="84" spans="1:6" ht="13" x14ac:dyDescent="0.15">
      <c r="A84" s="1" t="s">
        <v>11</v>
      </c>
      <c r="B84" s="2">
        <v>2</v>
      </c>
      <c r="C84" s="1" t="s">
        <v>18</v>
      </c>
      <c r="D84" s="3">
        <v>15</v>
      </c>
      <c r="E84" s="3">
        <v>40</v>
      </c>
      <c r="F84" s="3">
        <v>60</v>
      </c>
    </row>
    <row r="85" spans="1:6" ht="13" x14ac:dyDescent="0.15">
      <c r="A85" s="1" t="s">
        <v>11</v>
      </c>
      <c r="B85" s="2">
        <v>3</v>
      </c>
      <c r="C85" s="1" t="s">
        <v>18</v>
      </c>
      <c r="D85" s="3">
        <v>5</v>
      </c>
      <c r="E85" s="3">
        <v>15</v>
      </c>
      <c r="F85" s="3">
        <v>40</v>
      </c>
    </row>
  </sheetData>
  <mergeCells count="1">
    <mergeCell ref="D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F84"/>
  <sheetViews>
    <sheetView tabSelected="1" workbookViewId="0">
      <selection activeCell="F73" sqref="F73:F84"/>
    </sheetView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2</v>
      </c>
      <c r="B2" s="1" t="s">
        <v>3</v>
      </c>
      <c r="C2" s="1" t="s">
        <v>4</v>
      </c>
      <c r="D2" s="13" t="s">
        <v>21</v>
      </c>
      <c r="E2" s="14"/>
      <c r="F2" s="14"/>
    </row>
    <row r="3" spans="1:6" ht="15.75" customHeight="1" x14ac:dyDescent="0.15">
      <c r="A3" s="1" t="s">
        <v>7</v>
      </c>
      <c r="B3" s="1"/>
      <c r="C3" s="1"/>
      <c r="D3" s="3" t="s">
        <v>22</v>
      </c>
      <c r="E3" s="3" t="s">
        <v>23</v>
      </c>
      <c r="F3" s="3" t="s">
        <v>24</v>
      </c>
    </row>
    <row r="4" spans="1:6" ht="15.75" customHeight="1" x14ac:dyDescent="0.15">
      <c r="A4" s="1" t="s">
        <v>7</v>
      </c>
      <c r="B4" s="2">
        <v>1</v>
      </c>
      <c r="C4" s="1" t="s">
        <v>8</v>
      </c>
      <c r="D4" s="3">
        <v>2</v>
      </c>
      <c r="E4" s="3">
        <v>2</v>
      </c>
      <c r="F4" s="3">
        <v>15</v>
      </c>
    </row>
    <row r="5" spans="1:6" ht="15.75" customHeight="1" x14ac:dyDescent="0.15">
      <c r="A5" s="1" t="s">
        <v>7</v>
      </c>
      <c r="B5" s="2">
        <v>2</v>
      </c>
      <c r="C5" s="1" t="s">
        <v>8</v>
      </c>
      <c r="D5" s="3">
        <v>0</v>
      </c>
      <c r="E5" s="3">
        <v>5</v>
      </c>
      <c r="F5" s="3">
        <v>15</v>
      </c>
    </row>
    <row r="6" spans="1:6" ht="15.75" customHeight="1" x14ac:dyDescent="0.15">
      <c r="A6" s="1" t="s">
        <v>7</v>
      </c>
      <c r="B6" s="2">
        <v>3</v>
      </c>
      <c r="C6" s="1" t="s">
        <v>8</v>
      </c>
      <c r="D6" s="3">
        <v>5</v>
      </c>
      <c r="E6" s="3">
        <v>40</v>
      </c>
      <c r="F6" s="3">
        <v>60</v>
      </c>
    </row>
    <row r="7" spans="1:6" ht="15.75" customHeight="1" x14ac:dyDescent="0.15">
      <c r="A7" s="1" t="s">
        <v>9</v>
      </c>
      <c r="B7" s="2">
        <v>1</v>
      </c>
      <c r="C7" s="1" t="s">
        <v>8</v>
      </c>
      <c r="D7" s="3">
        <v>5</v>
      </c>
      <c r="E7" s="3">
        <v>15</v>
      </c>
      <c r="F7" s="3">
        <v>40</v>
      </c>
    </row>
    <row r="8" spans="1:6" ht="15.75" customHeight="1" x14ac:dyDescent="0.15">
      <c r="A8" s="1" t="s">
        <v>9</v>
      </c>
      <c r="B8" s="2">
        <v>2</v>
      </c>
      <c r="C8" s="1" t="s">
        <v>8</v>
      </c>
      <c r="D8" s="3">
        <v>5</v>
      </c>
      <c r="E8" s="3">
        <v>40</v>
      </c>
      <c r="F8" s="3">
        <v>60</v>
      </c>
    </row>
    <row r="9" spans="1:6" ht="15.75" customHeight="1" x14ac:dyDescent="0.15">
      <c r="A9" s="1" t="s">
        <v>9</v>
      </c>
      <c r="B9" s="2">
        <v>3</v>
      </c>
      <c r="C9" s="1" t="s">
        <v>8</v>
      </c>
      <c r="D9" s="3">
        <v>2</v>
      </c>
      <c r="E9" s="3">
        <v>5</v>
      </c>
      <c r="F9" s="3">
        <v>15</v>
      </c>
    </row>
    <row r="10" spans="1:6" ht="15.75" customHeight="1" x14ac:dyDescent="0.15">
      <c r="A10" s="1"/>
      <c r="B10" s="1"/>
      <c r="C10" s="1"/>
    </row>
    <row r="11" spans="1:6" ht="15.75" customHeight="1" x14ac:dyDescent="0.15">
      <c r="A11" s="1"/>
      <c r="B11" s="1"/>
      <c r="C11" s="1"/>
    </row>
    <row r="12" spans="1:6" ht="15.75" customHeight="1" x14ac:dyDescent="0.15">
      <c r="A12" s="1" t="s">
        <v>10</v>
      </c>
      <c r="B12" s="1"/>
      <c r="C12" s="1"/>
    </row>
    <row r="13" spans="1:6" ht="15.75" customHeight="1" x14ac:dyDescent="0.15">
      <c r="A13" s="1" t="s">
        <v>10</v>
      </c>
      <c r="B13" s="2">
        <v>1</v>
      </c>
      <c r="C13" s="1" t="s">
        <v>8</v>
      </c>
      <c r="D13" s="3">
        <v>15</v>
      </c>
      <c r="E13" s="3">
        <v>40</v>
      </c>
      <c r="F13" s="3">
        <v>100</v>
      </c>
    </row>
    <row r="14" spans="1:6" ht="15.75" customHeight="1" x14ac:dyDescent="0.15">
      <c r="A14" s="1" t="s">
        <v>10</v>
      </c>
      <c r="B14" s="2">
        <v>2</v>
      </c>
      <c r="C14" s="1" t="s">
        <v>8</v>
      </c>
      <c r="D14" s="3">
        <v>5</v>
      </c>
      <c r="E14" s="3">
        <v>15</v>
      </c>
      <c r="F14" s="3">
        <v>60</v>
      </c>
    </row>
    <row r="15" spans="1:6" ht="15.75" customHeight="1" x14ac:dyDescent="0.15">
      <c r="A15" s="1" t="s">
        <v>10</v>
      </c>
      <c r="B15" s="2">
        <v>3</v>
      </c>
      <c r="C15" s="1" t="s">
        <v>8</v>
      </c>
      <c r="D15" s="3">
        <v>0</v>
      </c>
      <c r="E15" s="3">
        <v>2</v>
      </c>
      <c r="F15" s="3">
        <v>40</v>
      </c>
    </row>
    <row r="16" spans="1:6" ht="15.75" customHeight="1" x14ac:dyDescent="0.15">
      <c r="A16" s="1" t="s">
        <v>11</v>
      </c>
      <c r="B16" s="2">
        <v>1</v>
      </c>
      <c r="C16" s="1" t="s">
        <v>8</v>
      </c>
      <c r="D16" s="3">
        <v>2</v>
      </c>
      <c r="E16" s="3">
        <v>40</v>
      </c>
      <c r="F16" s="3">
        <v>100</v>
      </c>
    </row>
    <row r="17" spans="1:6" ht="15.75" customHeight="1" x14ac:dyDescent="0.15">
      <c r="A17" s="1" t="s">
        <v>11</v>
      </c>
      <c r="B17" s="2">
        <v>2</v>
      </c>
      <c r="C17" s="1" t="s">
        <v>8</v>
      </c>
      <c r="D17" s="3">
        <v>5</v>
      </c>
      <c r="E17" s="3">
        <v>15</v>
      </c>
      <c r="F17" s="3">
        <v>40</v>
      </c>
    </row>
    <row r="18" spans="1:6" ht="15.75" customHeight="1" x14ac:dyDescent="0.15">
      <c r="A18" s="1" t="s">
        <v>11</v>
      </c>
      <c r="B18" s="2">
        <v>3</v>
      </c>
      <c r="C18" s="1" t="s">
        <v>8</v>
      </c>
      <c r="D18" s="3">
        <v>5</v>
      </c>
      <c r="E18" s="3">
        <v>40</v>
      </c>
      <c r="F18" s="3">
        <v>100</v>
      </c>
    </row>
    <row r="19" spans="1:6" ht="15.75" customHeight="1" x14ac:dyDescent="0.15">
      <c r="A19" s="1"/>
      <c r="B19" s="1"/>
      <c r="C19" s="1"/>
    </row>
    <row r="20" spans="1:6" ht="15.75" customHeight="1" x14ac:dyDescent="0.15">
      <c r="A20" s="1" t="s">
        <v>12</v>
      </c>
      <c r="B20" s="2">
        <v>1</v>
      </c>
      <c r="C20" s="1" t="s">
        <v>13</v>
      </c>
      <c r="D20" s="3">
        <v>0</v>
      </c>
      <c r="E20" s="3">
        <v>0</v>
      </c>
      <c r="F20" s="3">
        <v>0</v>
      </c>
    </row>
    <row r="21" spans="1:6" ht="15.75" customHeight="1" x14ac:dyDescent="0.15">
      <c r="A21" s="1" t="s">
        <v>12</v>
      </c>
      <c r="B21" s="2">
        <v>2</v>
      </c>
      <c r="C21" s="1" t="s">
        <v>13</v>
      </c>
      <c r="D21" s="3">
        <v>0</v>
      </c>
      <c r="E21" s="3">
        <v>0</v>
      </c>
      <c r="F21" s="3">
        <v>0</v>
      </c>
    </row>
    <row r="22" spans="1:6" ht="15.75" customHeight="1" x14ac:dyDescent="0.15">
      <c r="A22" s="1" t="s">
        <v>12</v>
      </c>
      <c r="B22" s="2">
        <v>3</v>
      </c>
      <c r="C22" s="1" t="s">
        <v>13</v>
      </c>
      <c r="D22" s="3">
        <v>0</v>
      </c>
      <c r="E22" s="3">
        <v>0</v>
      </c>
      <c r="F22" s="3">
        <v>0</v>
      </c>
    </row>
    <row r="23" spans="1:6" ht="15.75" customHeight="1" x14ac:dyDescent="0.15">
      <c r="A23" s="1" t="s">
        <v>14</v>
      </c>
      <c r="B23" s="2">
        <v>1</v>
      </c>
      <c r="C23" s="1" t="s">
        <v>13</v>
      </c>
      <c r="D23" s="3">
        <v>0</v>
      </c>
      <c r="E23" s="3">
        <v>0</v>
      </c>
      <c r="F23" s="3">
        <v>0</v>
      </c>
    </row>
    <row r="24" spans="1:6" ht="15.75" customHeight="1" x14ac:dyDescent="0.15">
      <c r="A24" s="1" t="s">
        <v>14</v>
      </c>
      <c r="B24" s="2">
        <v>2</v>
      </c>
      <c r="C24" s="1" t="s">
        <v>13</v>
      </c>
      <c r="D24" s="3">
        <v>0</v>
      </c>
      <c r="E24" s="3">
        <v>0</v>
      </c>
      <c r="F24" s="3">
        <v>0</v>
      </c>
    </row>
    <row r="25" spans="1:6" ht="15.75" customHeight="1" x14ac:dyDescent="0.15">
      <c r="A25" s="1" t="s">
        <v>14</v>
      </c>
      <c r="B25" s="2">
        <v>3</v>
      </c>
      <c r="C25" s="1" t="s">
        <v>13</v>
      </c>
      <c r="D25" s="3">
        <v>0</v>
      </c>
      <c r="E25" s="3">
        <v>0</v>
      </c>
      <c r="F25" s="3">
        <v>0</v>
      </c>
    </row>
    <row r="26" spans="1:6" ht="15.75" customHeight="1" x14ac:dyDescent="0.15">
      <c r="A26" s="1" t="s">
        <v>10</v>
      </c>
      <c r="B26" s="2">
        <v>1</v>
      </c>
      <c r="C26" s="1" t="s">
        <v>13</v>
      </c>
      <c r="D26" s="3">
        <v>0</v>
      </c>
      <c r="E26" s="3">
        <v>0</v>
      </c>
      <c r="F26" s="3">
        <v>0</v>
      </c>
    </row>
    <row r="27" spans="1:6" ht="15.75" customHeight="1" x14ac:dyDescent="0.15">
      <c r="A27" s="1" t="s">
        <v>10</v>
      </c>
      <c r="B27" s="2">
        <v>2</v>
      </c>
      <c r="C27" s="1" t="s">
        <v>13</v>
      </c>
      <c r="D27" s="3">
        <v>0</v>
      </c>
      <c r="E27" s="3">
        <v>0</v>
      </c>
      <c r="F27" s="3">
        <v>0</v>
      </c>
    </row>
    <row r="28" spans="1:6" ht="15.75" customHeight="1" x14ac:dyDescent="0.15">
      <c r="A28" s="1" t="s">
        <v>10</v>
      </c>
      <c r="B28" s="2">
        <v>3</v>
      </c>
      <c r="C28" s="1" t="s">
        <v>13</v>
      </c>
      <c r="D28" s="3">
        <v>0</v>
      </c>
      <c r="E28" s="3">
        <v>0</v>
      </c>
      <c r="F28" s="3">
        <v>0</v>
      </c>
    </row>
    <row r="29" spans="1:6" ht="15.75" customHeight="1" x14ac:dyDescent="0.15">
      <c r="A29" s="1" t="s">
        <v>11</v>
      </c>
      <c r="B29" s="2">
        <v>1</v>
      </c>
      <c r="C29" s="1" t="s">
        <v>13</v>
      </c>
      <c r="D29" s="3">
        <v>0</v>
      </c>
      <c r="E29" s="3">
        <v>0</v>
      </c>
      <c r="F29" s="3">
        <v>0</v>
      </c>
    </row>
    <row r="30" spans="1:6" ht="15.75" customHeight="1" x14ac:dyDescent="0.15">
      <c r="A30" s="1" t="s">
        <v>11</v>
      </c>
      <c r="B30" s="2">
        <v>2</v>
      </c>
      <c r="C30" s="1" t="s">
        <v>13</v>
      </c>
      <c r="D30" s="3">
        <v>0</v>
      </c>
      <c r="E30" s="3">
        <v>0</v>
      </c>
      <c r="F30" s="3">
        <v>0</v>
      </c>
    </row>
    <row r="31" spans="1:6" ht="15.75" customHeight="1" x14ac:dyDescent="0.15">
      <c r="A31" s="1" t="s">
        <v>11</v>
      </c>
      <c r="B31" s="2">
        <v>3</v>
      </c>
      <c r="C31" s="1" t="s">
        <v>13</v>
      </c>
      <c r="D31" s="3">
        <v>0</v>
      </c>
      <c r="E31" s="3">
        <v>0</v>
      </c>
      <c r="F31" s="3">
        <v>0</v>
      </c>
    </row>
    <row r="32" spans="1:6" ht="15.75" customHeight="1" x14ac:dyDescent="0.15">
      <c r="A32" s="1"/>
      <c r="B32" s="1"/>
      <c r="C32" s="1"/>
    </row>
    <row r="33" spans="1:6" ht="15.75" customHeight="1" x14ac:dyDescent="0.15">
      <c r="A33" s="1" t="s">
        <v>12</v>
      </c>
      <c r="B33" s="2">
        <v>1</v>
      </c>
      <c r="C33" s="1" t="s">
        <v>15</v>
      </c>
      <c r="D33" s="3">
        <v>0</v>
      </c>
      <c r="E33" s="3">
        <v>5</v>
      </c>
      <c r="F33" s="3">
        <v>15</v>
      </c>
    </row>
    <row r="34" spans="1:6" ht="15.75" customHeight="1" x14ac:dyDescent="0.15">
      <c r="A34" s="1" t="s">
        <v>12</v>
      </c>
      <c r="B34" s="2">
        <v>2</v>
      </c>
      <c r="C34" s="1" t="s">
        <v>15</v>
      </c>
      <c r="D34" s="3">
        <v>15</v>
      </c>
      <c r="E34" s="3">
        <v>40</v>
      </c>
      <c r="F34" s="3">
        <v>60</v>
      </c>
    </row>
    <row r="35" spans="1:6" ht="15.75" customHeight="1" x14ac:dyDescent="0.15">
      <c r="A35" s="1" t="s">
        <v>12</v>
      </c>
      <c r="B35" s="2">
        <v>3</v>
      </c>
      <c r="C35" s="1" t="s">
        <v>15</v>
      </c>
      <c r="D35" s="3">
        <v>2</v>
      </c>
      <c r="E35" s="3">
        <v>5</v>
      </c>
      <c r="F35" s="3">
        <v>15</v>
      </c>
    </row>
    <row r="36" spans="1:6" ht="15.75" customHeight="1" x14ac:dyDescent="0.15">
      <c r="A36" s="1" t="s">
        <v>14</v>
      </c>
      <c r="B36" s="2">
        <v>1</v>
      </c>
      <c r="C36" s="1" t="s">
        <v>15</v>
      </c>
      <c r="D36" s="3">
        <v>5</v>
      </c>
      <c r="E36" s="3">
        <v>15</v>
      </c>
      <c r="F36" s="3">
        <v>40</v>
      </c>
    </row>
    <row r="37" spans="1:6" ht="15.75" customHeight="1" x14ac:dyDescent="0.15">
      <c r="A37" s="1" t="s">
        <v>14</v>
      </c>
      <c r="B37" s="2">
        <v>2</v>
      </c>
      <c r="C37" s="1" t="s">
        <v>15</v>
      </c>
      <c r="D37" s="3">
        <v>2</v>
      </c>
      <c r="E37" s="3">
        <v>5</v>
      </c>
      <c r="F37" s="3">
        <v>15</v>
      </c>
    </row>
    <row r="38" spans="1:6" ht="15.75" customHeight="1" x14ac:dyDescent="0.15">
      <c r="A38" s="1" t="s">
        <v>14</v>
      </c>
      <c r="B38" s="2">
        <v>3</v>
      </c>
      <c r="C38" s="1" t="s">
        <v>15</v>
      </c>
      <c r="D38" s="3">
        <v>0</v>
      </c>
      <c r="E38" s="3">
        <v>15</v>
      </c>
      <c r="F38" s="3">
        <v>40</v>
      </c>
    </row>
    <row r="39" spans="1:6" ht="15.75" customHeight="1" x14ac:dyDescent="0.15">
      <c r="A39" s="1" t="s">
        <v>10</v>
      </c>
      <c r="B39" s="2">
        <v>1</v>
      </c>
      <c r="C39" s="1" t="s">
        <v>15</v>
      </c>
      <c r="D39" s="3">
        <v>5</v>
      </c>
      <c r="E39" s="3">
        <v>40</v>
      </c>
      <c r="F39" s="3">
        <v>100</v>
      </c>
    </row>
    <row r="40" spans="1:6" ht="15.75" customHeight="1" x14ac:dyDescent="0.15">
      <c r="A40" s="1" t="s">
        <v>10</v>
      </c>
      <c r="B40" s="2">
        <v>2</v>
      </c>
      <c r="C40" s="1" t="s">
        <v>15</v>
      </c>
      <c r="D40" s="3">
        <v>5</v>
      </c>
      <c r="E40" s="3">
        <v>15</v>
      </c>
      <c r="F40" s="3">
        <v>40</v>
      </c>
    </row>
    <row r="41" spans="1:6" ht="15.75" customHeight="1" x14ac:dyDescent="0.15">
      <c r="A41" s="1" t="s">
        <v>10</v>
      </c>
      <c r="B41" s="2">
        <v>3</v>
      </c>
      <c r="C41" s="1" t="s">
        <v>15</v>
      </c>
      <c r="D41" s="3">
        <v>15</v>
      </c>
      <c r="E41" s="3">
        <v>40</v>
      </c>
      <c r="F41" s="3">
        <v>60</v>
      </c>
    </row>
    <row r="42" spans="1:6" ht="15.75" customHeight="1" x14ac:dyDescent="0.15">
      <c r="A42" s="1" t="s">
        <v>11</v>
      </c>
      <c r="B42" s="2">
        <v>1</v>
      </c>
      <c r="C42" s="1" t="s">
        <v>15</v>
      </c>
      <c r="D42" s="3">
        <v>15</v>
      </c>
      <c r="E42" s="3">
        <v>40</v>
      </c>
      <c r="F42" s="3">
        <v>60</v>
      </c>
    </row>
    <row r="43" spans="1:6" ht="13" x14ac:dyDescent="0.15">
      <c r="A43" s="1" t="s">
        <v>11</v>
      </c>
      <c r="B43" s="2">
        <v>2</v>
      </c>
      <c r="C43" s="1" t="s">
        <v>15</v>
      </c>
      <c r="D43" s="3">
        <v>5</v>
      </c>
      <c r="E43" s="3">
        <v>40</v>
      </c>
      <c r="F43" s="3">
        <v>100</v>
      </c>
    </row>
    <row r="44" spans="1:6" ht="13" x14ac:dyDescent="0.15">
      <c r="A44" s="1" t="s">
        <v>11</v>
      </c>
      <c r="B44" s="2">
        <v>3</v>
      </c>
      <c r="C44" s="1" t="s">
        <v>15</v>
      </c>
      <c r="D44" s="3">
        <v>2</v>
      </c>
      <c r="E44" s="3">
        <v>15</v>
      </c>
      <c r="F44" s="3">
        <v>40</v>
      </c>
    </row>
    <row r="45" spans="1:6" ht="13" x14ac:dyDescent="0.15">
      <c r="A45" s="1"/>
      <c r="B45" s="1"/>
      <c r="C45" s="1"/>
    </row>
    <row r="46" spans="1:6" ht="13" x14ac:dyDescent="0.15">
      <c r="A46" s="1" t="s">
        <v>12</v>
      </c>
      <c r="B46" s="2">
        <v>1</v>
      </c>
      <c r="C46" s="1" t="s">
        <v>16</v>
      </c>
      <c r="D46" s="3">
        <v>2</v>
      </c>
      <c r="E46" s="3">
        <v>15</v>
      </c>
      <c r="F46" s="3">
        <v>40</v>
      </c>
    </row>
    <row r="47" spans="1:6" ht="13" x14ac:dyDescent="0.15">
      <c r="A47" s="1" t="s">
        <v>12</v>
      </c>
      <c r="B47" s="2">
        <v>2</v>
      </c>
      <c r="C47" s="1" t="s">
        <v>16</v>
      </c>
      <c r="D47" s="3">
        <v>2</v>
      </c>
      <c r="E47" s="3">
        <v>5</v>
      </c>
      <c r="F47" s="3">
        <v>15</v>
      </c>
    </row>
    <row r="48" spans="1:6" ht="13" x14ac:dyDescent="0.15">
      <c r="A48" s="1" t="s">
        <v>12</v>
      </c>
      <c r="B48" s="2">
        <v>3</v>
      </c>
      <c r="C48" s="1" t="s">
        <v>16</v>
      </c>
      <c r="D48" s="3">
        <v>2</v>
      </c>
      <c r="E48" s="3">
        <v>15</v>
      </c>
      <c r="F48" s="3">
        <v>40</v>
      </c>
    </row>
    <row r="49" spans="1:6" ht="13" x14ac:dyDescent="0.15">
      <c r="A49" s="1" t="s">
        <v>14</v>
      </c>
      <c r="B49" s="2">
        <v>1</v>
      </c>
      <c r="C49" s="1" t="s">
        <v>16</v>
      </c>
      <c r="D49" s="3">
        <v>5</v>
      </c>
      <c r="E49" s="3">
        <v>15</v>
      </c>
      <c r="F49" s="3">
        <v>40</v>
      </c>
    </row>
    <row r="50" spans="1:6" ht="13" x14ac:dyDescent="0.15">
      <c r="A50" s="1" t="s">
        <v>14</v>
      </c>
      <c r="B50" s="2">
        <v>2</v>
      </c>
      <c r="C50" s="1" t="s">
        <v>16</v>
      </c>
      <c r="D50" s="3">
        <v>5</v>
      </c>
      <c r="E50" s="3">
        <v>40</v>
      </c>
      <c r="F50" s="3">
        <v>60</v>
      </c>
    </row>
    <row r="51" spans="1:6" ht="13" x14ac:dyDescent="0.15">
      <c r="A51" s="1" t="s">
        <v>14</v>
      </c>
      <c r="B51" s="2">
        <v>3</v>
      </c>
      <c r="C51" s="1" t="s">
        <v>16</v>
      </c>
      <c r="D51" s="3">
        <v>5</v>
      </c>
      <c r="E51" s="3">
        <v>15</v>
      </c>
      <c r="F51" s="3">
        <v>40</v>
      </c>
    </row>
    <row r="52" spans="1:6" ht="13" x14ac:dyDescent="0.15">
      <c r="A52" s="1" t="s">
        <v>10</v>
      </c>
      <c r="B52" s="2">
        <v>1</v>
      </c>
      <c r="C52" s="1" t="s">
        <v>16</v>
      </c>
      <c r="D52" s="3">
        <v>15</v>
      </c>
      <c r="E52" s="3">
        <v>40</v>
      </c>
      <c r="F52" s="3">
        <v>60</v>
      </c>
    </row>
    <row r="53" spans="1:6" ht="13" x14ac:dyDescent="0.15">
      <c r="A53" s="1" t="s">
        <v>10</v>
      </c>
      <c r="B53" s="2">
        <v>2</v>
      </c>
      <c r="C53" s="1" t="s">
        <v>16</v>
      </c>
      <c r="D53" s="3">
        <v>0</v>
      </c>
      <c r="E53" s="3">
        <v>40</v>
      </c>
      <c r="F53" s="3">
        <v>100</v>
      </c>
    </row>
    <row r="54" spans="1:6" ht="13" x14ac:dyDescent="0.15">
      <c r="A54" s="1" t="s">
        <v>10</v>
      </c>
      <c r="B54" s="2">
        <v>3</v>
      </c>
      <c r="C54" s="1" t="s">
        <v>16</v>
      </c>
      <c r="D54" s="3">
        <v>0</v>
      </c>
      <c r="E54" s="3">
        <v>5</v>
      </c>
      <c r="F54" s="3">
        <v>40</v>
      </c>
    </row>
    <row r="55" spans="1:6" ht="13" x14ac:dyDescent="0.15">
      <c r="A55" s="1" t="s">
        <v>11</v>
      </c>
      <c r="B55" s="2">
        <v>1</v>
      </c>
      <c r="C55" s="1" t="s">
        <v>16</v>
      </c>
      <c r="D55" s="3">
        <v>15</v>
      </c>
      <c r="E55" s="3">
        <v>40</v>
      </c>
      <c r="F55" s="3">
        <v>60</v>
      </c>
    </row>
    <row r="56" spans="1:6" ht="13" x14ac:dyDescent="0.15">
      <c r="A56" s="1" t="s">
        <v>11</v>
      </c>
      <c r="B56" s="2">
        <v>2</v>
      </c>
      <c r="C56" s="1" t="s">
        <v>16</v>
      </c>
      <c r="D56" s="3">
        <v>5</v>
      </c>
      <c r="E56" s="3">
        <v>15</v>
      </c>
      <c r="F56" s="3">
        <v>60</v>
      </c>
    </row>
    <row r="57" spans="1:6" ht="13" x14ac:dyDescent="0.15">
      <c r="A57" s="1" t="s">
        <v>11</v>
      </c>
      <c r="B57" s="2">
        <v>3</v>
      </c>
      <c r="C57" s="1" t="s">
        <v>16</v>
      </c>
      <c r="D57" s="3">
        <v>5</v>
      </c>
      <c r="E57" s="3">
        <v>15</v>
      </c>
      <c r="F57" s="3">
        <v>40</v>
      </c>
    </row>
    <row r="58" spans="1:6" ht="13" x14ac:dyDescent="0.15">
      <c r="A58" s="1"/>
      <c r="B58" s="1"/>
      <c r="C58" s="1"/>
    </row>
    <row r="59" spans="1:6" ht="13" x14ac:dyDescent="0.15">
      <c r="A59" s="1"/>
      <c r="B59" s="1"/>
      <c r="C59" s="1"/>
    </row>
    <row r="60" spans="1:6" ht="13" x14ac:dyDescent="0.15">
      <c r="A60" s="1" t="s">
        <v>12</v>
      </c>
      <c r="B60" s="2">
        <v>1</v>
      </c>
      <c r="C60" s="1" t="s">
        <v>17</v>
      </c>
      <c r="D60" s="3">
        <v>5</v>
      </c>
      <c r="E60" s="3">
        <v>15</v>
      </c>
      <c r="F60" s="3">
        <v>40</v>
      </c>
    </row>
    <row r="61" spans="1:6" ht="13" x14ac:dyDescent="0.15">
      <c r="A61" s="1" t="s">
        <v>12</v>
      </c>
      <c r="B61" s="2">
        <v>2</v>
      </c>
      <c r="C61" s="1" t="s">
        <v>17</v>
      </c>
      <c r="D61" s="3">
        <v>2</v>
      </c>
      <c r="E61" s="3">
        <v>5</v>
      </c>
      <c r="F61" s="3">
        <v>15</v>
      </c>
    </row>
    <row r="62" spans="1:6" ht="13" x14ac:dyDescent="0.15">
      <c r="A62" s="1" t="s">
        <v>12</v>
      </c>
      <c r="B62" s="2">
        <v>3</v>
      </c>
      <c r="C62" s="1" t="s">
        <v>17</v>
      </c>
      <c r="D62" s="3">
        <v>2</v>
      </c>
      <c r="E62" s="3">
        <v>5</v>
      </c>
      <c r="F62" s="3">
        <v>15</v>
      </c>
    </row>
    <row r="63" spans="1:6" ht="13" x14ac:dyDescent="0.15">
      <c r="A63" s="1" t="s">
        <v>14</v>
      </c>
      <c r="B63" s="2">
        <v>1</v>
      </c>
      <c r="C63" s="1" t="s">
        <v>17</v>
      </c>
      <c r="D63" s="3">
        <v>2</v>
      </c>
      <c r="E63" s="3">
        <v>5</v>
      </c>
      <c r="F63" s="3">
        <v>15</v>
      </c>
    </row>
    <row r="64" spans="1:6" ht="13" x14ac:dyDescent="0.15">
      <c r="A64" s="1" t="s">
        <v>14</v>
      </c>
      <c r="B64" s="2">
        <v>2</v>
      </c>
      <c r="C64" s="1" t="s">
        <v>17</v>
      </c>
      <c r="D64" s="3">
        <v>15</v>
      </c>
      <c r="E64" s="3">
        <v>40</v>
      </c>
      <c r="F64" s="3">
        <v>60</v>
      </c>
    </row>
    <row r="65" spans="1:6" ht="13" x14ac:dyDescent="0.15">
      <c r="A65" s="1" t="s">
        <v>14</v>
      </c>
      <c r="B65" s="2">
        <v>3</v>
      </c>
      <c r="C65" s="1" t="s">
        <v>17</v>
      </c>
      <c r="D65" s="3">
        <v>5</v>
      </c>
      <c r="E65" s="3">
        <v>15</v>
      </c>
      <c r="F65" s="3">
        <v>40</v>
      </c>
    </row>
    <row r="66" spans="1:6" ht="13" x14ac:dyDescent="0.15">
      <c r="A66" s="1" t="s">
        <v>10</v>
      </c>
      <c r="B66" s="2">
        <v>1</v>
      </c>
      <c r="C66" s="1" t="s">
        <v>17</v>
      </c>
      <c r="D66" s="3">
        <v>15</v>
      </c>
      <c r="E66" s="3">
        <v>40</v>
      </c>
      <c r="F66" s="3">
        <v>60</v>
      </c>
    </row>
    <row r="67" spans="1:6" ht="13" x14ac:dyDescent="0.15">
      <c r="A67" s="1" t="s">
        <v>10</v>
      </c>
      <c r="B67" s="2">
        <v>2</v>
      </c>
      <c r="C67" s="1" t="s">
        <v>17</v>
      </c>
      <c r="D67" s="3">
        <v>15</v>
      </c>
      <c r="E67" s="3">
        <v>60</v>
      </c>
      <c r="F67" s="3">
        <v>100</v>
      </c>
    </row>
    <row r="68" spans="1:6" ht="13" x14ac:dyDescent="0.15">
      <c r="A68" s="1" t="s">
        <v>10</v>
      </c>
      <c r="B68" s="2">
        <v>3</v>
      </c>
      <c r="C68" s="1" t="s">
        <v>17</v>
      </c>
      <c r="D68" s="3">
        <v>40</v>
      </c>
      <c r="E68" s="3">
        <v>60</v>
      </c>
      <c r="F68" s="3">
        <v>100</v>
      </c>
    </row>
    <row r="69" spans="1:6" ht="13" x14ac:dyDescent="0.15">
      <c r="A69" s="1" t="s">
        <v>11</v>
      </c>
      <c r="B69" s="2">
        <v>1</v>
      </c>
      <c r="C69" s="1" t="s">
        <v>17</v>
      </c>
      <c r="D69" s="3">
        <v>15</v>
      </c>
      <c r="E69" s="3">
        <v>40</v>
      </c>
      <c r="F69" s="3">
        <v>60</v>
      </c>
    </row>
    <row r="70" spans="1:6" ht="13" x14ac:dyDescent="0.15">
      <c r="A70" s="1" t="s">
        <v>11</v>
      </c>
      <c r="B70" s="2">
        <v>2</v>
      </c>
      <c r="C70" s="1" t="s">
        <v>17</v>
      </c>
      <c r="D70" s="3">
        <v>5</v>
      </c>
      <c r="E70" s="3">
        <v>15</v>
      </c>
      <c r="F70" s="3">
        <v>40</v>
      </c>
    </row>
    <row r="71" spans="1:6" ht="13" x14ac:dyDescent="0.15">
      <c r="A71" s="1" t="s">
        <v>11</v>
      </c>
      <c r="B71" s="2">
        <v>3</v>
      </c>
      <c r="C71" s="1" t="s">
        <v>17</v>
      </c>
      <c r="D71" s="3">
        <v>15</v>
      </c>
      <c r="E71" s="3">
        <v>40</v>
      </c>
      <c r="F71" s="3">
        <v>100</v>
      </c>
    </row>
    <row r="72" spans="1:6" ht="13" x14ac:dyDescent="0.15">
      <c r="A72" s="1"/>
      <c r="B72" s="1"/>
      <c r="C72" s="1"/>
    </row>
    <row r="73" spans="1:6" ht="13" x14ac:dyDescent="0.15">
      <c r="A73" s="1" t="s">
        <v>12</v>
      </c>
      <c r="B73" s="2">
        <v>1</v>
      </c>
      <c r="C73" s="1" t="s">
        <v>18</v>
      </c>
      <c r="D73" s="3">
        <v>2</v>
      </c>
      <c r="E73" s="3">
        <v>15</v>
      </c>
      <c r="F73" s="3">
        <v>60</v>
      </c>
    </row>
    <row r="74" spans="1:6" ht="13" x14ac:dyDescent="0.15">
      <c r="A74" s="1" t="s">
        <v>12</v>
      </c>
      <c r="B74" s="2">
        <v>2</v>
      </c>
      <c r="C74" s="1" t="s">
        <v>18</v>
      </c>
      <c r="D74" s="3">
        <v>5</v>
      </c>
      <c r="E74" s="3">
        <v>40</v>
      </c>
      <c r="F74" s="3">
        <v>100</v>
      </c>
    </row>
    <row r="75" spans="1:6" ht="13" x14ac:dyDescent="0.15">
      <c r="A75" s="1" t="s">
        <v>12</v>
      </c>
      <c r="B75" s="2">
        <v>3</v>
      </c>
      <c r="C75" s="1" t="s">
        <v>18</v>
      </c>
      <c r="D75" s="3">
        <v>15</v>
      </c>
      <c r="E75" s="3">
        <v>40</v>
      </c>
      <c r="F75" s="3">
        <v>60</v>
      </c>
    </row>
    <row r="76" spans="1:6" ht="13" x14ac:dyDescent="0.15">
      <c r="A76" s="1" t="s">
        <v>14</v>
      </c>
      <c r="B76" s="2">
        <v>1</v>
      </c>
      <c r="C76" s="1" t="s">
        <v>18</v>
      </c>
      <c r="D76" s="3">
        <v>2</v>
      </c>
      <c r="E76" s="3">
        <v>15</v>
      </c>
      <c r="F76" s="3">
        <v>40</v>
      </c>
    </row>
    <row r="77" spans="1:6" ht="13" x14ac:dyDescent="0.15">
      <c r="A77" s="1" t="s">
        <v>14</v>
      </c>
      <c r="B77" s="2">
        <v>2</v>
      </c>
      <c r="C77" s="1" t="s">
        <v>18</v>
      </c>
      <c r="D77" s="3">
        <v>0</v>
      </c>
      <c r="E77" s="3">
        <v>15</v>
      </c>
      <c r="F77" s="3">
        <v>100</v>
      </c>
    </row>
    <row r="78" spans="1:6" ht="13" x14ac:dyDescent="0.15">
      <c r="A78" s="1" t="s">
        <v>14</v>
      </c>
      <c r="B78" s="2">
        <v>3</v>
      </c>
      <c r="C78" s="1" t="s">
        <v>18</v>
      </c>
    </row>
    <row r="79" spans="1:6" ht="13" x14ac:dyDescent="0.15">
      <c r="A79" s="1" t="s">
        <v>10</v>
      </c>
      <c r="B79" s="2">
        <v>1</v>
      </c>
      <c r="C79" s="1" t="s">
        <v>18</v>
      </c>
      <c r="D79" s="3">
        <v>2</v>
      </c>
      <c r="E79" s="3">
        <v>15</v>
      </c>
      <c r="F79" s="3">
        <v>40</v>
      </c>
    </row>
    <row r="80" spans="1:6" ht="13" x14ac:dyDescent="0.15">
      <c r="A80" s="1" t="s">
        <v>10</v>
      </c>
      <c r="B80" s="2">
        <v>2</v>
      </c>
      <c r="C80" s="1" t="s">
        <v>18</v>
      </c>
      <c r="D80" s="3">
        <v>15</v>
      </c>
      <c r="E80" s="3">
        <v>40</v>
      </c>
      <c r="F80" s="3">
        <v>100</v>
      </c>
    </row>
    <row r="81" spans="1:6" ht="13" x14ac:dyDescent="0.15">
      <c r="A81" s="1" t="s">
        <v>10</v>
      </c>
      <c r="B81" s="2">
        <v>3</v>
      </c>
      <c r="C81" s="1" t="s">
        <v>18</v>
      </c>
      <c r="D81" s="3">
        <v>5</v>
      </c>
      <c r="E81" s="3">
        <v>15</v>
      </c>
      <c r="F81" s="3">
        <v>40</v>
      </c>
    </row>
    <row r="82" spans="1:6" ht="13" x14ac:dyDescent="0.15">
      <c r="A82" s="1" t="s">
        <v>11</v>
      </c>
      <c r="B82" s="2">
        <v>1</v>
      </c>
      <c r="C82" s="1" t="s">
        <v>18</v>
      </c>
      <c r="D82" s="3">
        <v>2</v>
      </c>
      <c r="E82" s="3">
        <v>15</v>
      </c>
      <c r="F82" s="3">
        <v>40</v>
      </c>
    </row>
    <row r="83" spans="1:6" ht="13" x14ac:dyDescent="0.15">
      <c r="A83" s="1" t="s">
        <v>11</v>
      </c>
      <c r="B83" s="2">
        <v>2</v>
      </c>
      <c r="C83" s="1" t="s">
        <v>18</v>
      </c>
      <c r="D83" s="3">
        <v>5</v>
      </c>
      <c r="E83" s="3">
        <v>40</v>
      </c>
      <c r="F83" s="3">
        <v>60</v>
      </c>
    </row>
    <row r="84" spans="1:6" ht="13" x14ac:dyDescent="0.15">
      <c r="A84" s="1" t="s">
        <v>11</v>
      </c>
      <c r="B84" s="2">
        <v>3</v>
      </c>
      <c r="C84" s="1" t="s">
        <v>18</v>
      </c>
      <c r="D84" s="3">
        <v>5</v>
      </c>
      <c r="E84" s="3">
        <v>60</v>
      </c>
      <c r="F84" s="3">
        <v>100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Intact leaf Exp 1 7day</vt:lpstr>
      <vt:lpstr>Intact leaf Exp 1 14day</vt:lpstr>
      <vt:lpstr>Intact leaf Exp 1 21day</vt:lpstr>
      <vt:lpstr>Intact leaf Exp 2 21 day</vt:lpstr>
      <vt:lpstr>detached Exp 1</vt:lpstr>
      <vt:lpstr>detached Exp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Nieto, Edgar [PPEM]</cp:lastModifiedBy>
  <dcterms:modified xsi:type="dcterms:W3CDTF">2025-11-20T03:31:51Z</dcterms:modified>
</cp:coreProperties>
</file>